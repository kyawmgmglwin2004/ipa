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roject File\New Project\Flutter Code View Check\"/>
    </mc:Choice>
  </mc:AlternateContent>
  <bookViews>
    <workbookView xWindow="0" yWindow="0" windowWidth="19200" windowHeight="7260" tabRatio="525" activeTab="1"/>
  </bookViews>
  <sheets>
    <sheet name="レビュー観点" sheetId="13" r:id="rId1"/>
    <sheet name="プロジェクト名(EMS-MM03)" sheetId="11" r:id="rId2"/>
    <sheet name="分類観点と分析ポイント" sheetId="9" r:id="rId3"/>
    <sheet name="data" sheetId="10" r:id="rId4"/>
    <sheet name="指摘‗エビデンス" sheetId="7" r:id="rId5"/>
  </sheets>
  <externalReferences>
    <externalReference r:id="rId6"/>
  </externalReferences>
  <definedNames>
    <definedName name="_xlnm._FilterDatabase" localSheetId="1" hidden="1">'プロジェクト名(EMS-MM03)'!$A$20:$X$20</definedName>
    <definedName name="Data1" localSheetId="3">#REF!</definedName>
    <definedName name="Data1" localSheetId="1">#REF!</definedName>
    <definedName name="Data1" localSheetId="2">#REF!</definedName>
    <definedName name="Data1">#REF!</definedName>
    <definedName name="Data10" localSheetId="3">#REF!</definedName>
    <definedName name="Data10" localSheetId="1">#REF!</definedName>
    <definedName name="Data10" localSheetId="2">#REF!</definedName>
    <definedName name="Data10">#REF!</definedName>
    <definedName name="Data100" localSheetId="3">#REF!</definedName>
    <definedName name="Data100" localSheetId="1">#REF!</definedName>
    <definedName name="Data100" localSheetId="2">#REF!</definedName>
    <definedName name="Data100">#REF!</definedName>
    <definedName name="Data11" localSheetId="3">#REF!</definedName>
    <definedName name="Data11" localSheetId="1">#REF!</definedName>
    <definedName name="Data11" localSheetId="2">#REF!</definedName>
    <definedName name="Data11">#REF!</definedName>
    <definedName name="Data12" localSheetId="3">#REF!</definedName>
    <definedName name="Data12" localSheetId="1">#REF!</definedName>
    <definedName name="Data12" localSheetId="2">#REF!</definedName>
    <definedName name="Data12">#REF!</definedName>
    <definedName name="Data13" localSheetId="3">#REF!</definedName>
    <definedName name="Data13" localSheetId="1">#REF!</definedName>
    <definedName name="Data13" localSheetId="2">#REF!</definedName>
    <definedName name="Data13">#REF!</definedName>
    <definedName name="Data14" localSheetId="3">#REF!</definedName>
    <definedName name="Data14" localSheetId="1">#REF!</definedName>
    <definedName name="Data14" localSheetId="2">#REF!</definedName>
    <definedName name="Data14">#REF!</definedName>
    <definedName name="Data15" localSheetId="3">#REF!</definedName>
    <definedName name="Data15" localSheetId="1">#REF!</definedName>
    <definedName name="Data15" localSheetId="2">#REF!</definedName>
    <definedName name="Data15">#REF!</definedName>
    <definedName name="Data16" localSheetId="3">#REF!</definedName>
    <definedName name="Data16" localSheetId="1">#REF!</definedName>
    <definedName name="Data16" localSheetId="2">#REF!</definedName>
    <definedName name="Data16">#REF!</definedName>
    <definedName name="Data17" localSheetId="3">#REF!</definedName>
    <definedName name="Data17" localSheetId="1">#REF!</definedName>
    <definedName name="Data17" localSheetId="2">#REF!</definedName>
    <definedName name="Data17">#REF!</definedName>
    <definedName name="Data18" localSheetId="3">#REF!</definedName>
    <definedName name="Data18" localSheetId="1">#REF!</definedName>
    <definedName name="Data18" localSheetId="2">#REF!</definedName>
    <definedName name="Data18">#REF!</definedName>
    <definedName name="Data19" localSheetId="3">#REF!</definedName>
    <definedName name="Data19" localSheetId="1">#REF!</definedName>
    <definedName name="Data19" localSheetId="2">#REF!</definedName>
    <definedName name="Data19">#REF!</definedName>
    <definedName name="Data2" localSheetId="3">#REF!</definedName>
    <definedName name="Data2" localSheetId="1">#REF!</definedName>
    <definedName name="Data2" localSheetId="2">#REF!</definedName>
    <definedName name="Data2">#REF!</definedName>
    <definedName name="Data20" localSheetId="3">#REF!</definedName>
    <definedName name="Data20" localSheetId="1">#REF!</definedName>
    <definedName name="Data20" localSheetId="2">#REF!</definedName>
    <definedName name="Data20">#REF!</definedName>
    <definedName name="Data21" localSheetId="3">#REF!</definedName>
    <definedName name="Data21" localSheetId="1">#REF!</definedName>
    <definedName name="Data21" localSheetId="2">#REF!</definedName>
    <definedName name="Data21">#REF!</definedName>
    <definedName name="Data22" localSheetId="3">#REF!</definedName>
    <definedName name="Data22" localSheetId="1">#REF!</definedName>
    <definedName name="Data22" localSheetId="2">#REF!</definedName>
    <definedName name="Data22">#REF!</definedName>
    <definedName name="Data23" localSheetId="3">#REF!</definedName>
    <definedName name="Data23" localSheetId="1">#REF!</definedName>
    <definedName name="Data23" localSheetId="2">#REF!</definedName>
    <definedName name="Data23">#REF!</definedName>
    <definedName name="Data24" localSheetId="3">#REF!</definedName>
    <definedName name="Data24" localSheetId="1">#REF!</definedName>
    <definedName name="Data24" localSheetId="2">#REF!</definedName>
    <definedName name="Data24">#REF!</definedName>
    <definedName name="Data25" localSheetId="3">#REF!</definedName>
    <definedName name="Data25" localSheetId="1">#REF!</definedName>
    <definedName name="Data25" localSheetId="2">#REF!</definedName>
    <definedName name="Data25">#REF!</definedName>
    <definedName name="Data26" localSheetId="3">#REF!</definedName>
    <definedName name="Data26" localSheetId="1">#REF!</definedName>
    <definedName name="Data26" localSheetId="2">#REF!</definedName>
    <definedName name="Data26">#REF!</definedName>
    <definedName name="Data27" localSheetId="3">#REF!</definedName>
    <definedName name="Data27" localSheetId="1">#REF!</definedName>
    <definedName name="Data27" localSheetId="2">#REF!</definedName>
    <definedName name="Data27">#REF!</definedName>
    <definedName name="Data28" localSheetId="3">#REF!</definedName>
    <definedName name="Data28" localSheetId="1">#REF!</definedName>
    <definedName name="Data28" localSheetId="2">#REF!</definedName>
    <definedName name="Data28">#REF!</definedName>
    <definedName name="Data29" localSheetId="3">#REF!</definedName>
    <definedName name="Data29" localSheetId="1">#REF!</definedName>
    <definedName name="Data29" localSheetId="2">#REF!</definedName>
    <definedName name="Data29">#REF!</definedName>
    <definedName name="Data3" localSheetId="3">#REF!</definedName>
    <definedName name="Data3" localSheetId="1">#REF!</definedName>
    <definedName name="Data3" localSheetId="2">#REF!</definedName>
    <definedName name="Data3">#REF!</definedName>
    <definedName name="Data30" localSheetId="3">#REF!</definedName>
    <definedName name="Data30" localSheetId="1">#REF!</definedName>
    <definedName name="Data30" localSheetId="2">#REF!</definedName>
    <definedName name="Data30">#REF!</definedName>
    <definedName name="Data31" localSheetId="3">#REF!</definedName>
    <definedName name="Data31" localSheetId="1">#REF!</definedName>
    <definedName name="Data31" localSheetId="2">#REF!</definedName>
    <definedName name="Data31">#REF!</definedName>
    <definedName name="Data32" localSheetId="3">#REF!</definedName>
    <definedName name="Data32" localSheetId="1">#REF!</definedName>
    <definedName name="Data32" localSheetId="2">#REF!</definedName>
    <definedName name="Data32">#REF!</definedName>
    <definedName name="Data33" localSheetId="3">#REF!</definedName>
    <definedName name="Data33" localSheetId="1">#REF!</definedName>
    <definedName name="Data33" localSheetId="2">#REF!</definedName>
    <definedName name="Data33">#REF!</definedName>
    <definedName name="Data34" localSheetId="3">#REF!</definedName>
    <definedName name="Data34" localSheetId="1">#REF!</definedName>
    <definedName name="Data34" localSheetId="2">#REF!</definedName>
    <definedName name="Data34">#REF!</definedName>
    <definedName name="Data35" localSheetId="3">#REF!</definedName>
    <definedName name="Data35" localSheetId="1">#REF!</definedName>
    <definedName name="Data35" localSheetId="2">#REF!</definedName>
    <definedName name="Data35">#REF!</definedName>
    <definedName name="Data36" localSheetId="3">#REF!</definedName>
    <definedName name="Data36" localSheetId="1">#REF!</definedName>
    <definedName name="Data36" localSheetId="2">#REF!</definedName>
    <definedName name="Data36">#REF!</definedName>
    <definedName name="Data37" localSheetId="3">#REF!</definedName>
    <definedName name="Data37" localSheetId="1">#REF!</definedName>
    <definedName name="Data37" localSheetId="2">#REF!</definedName>
    <definedName name="Data37">#REF!</definedName>
    <definedName name="Data38" localSheetId="3">#REF!</definedName>
    <definedName name="Data38" localSheetId="1">#REF!</definedName>
    <definedName name="Data38" localSheetId="2">#REF!</definedName>
    <definedName name="Data38">#REF!</definedName>
    <definedName name="Data39" localSheetId="3">#REF!</definedName>
    <definedName name="Data39" localSheetId="1">#REF!</definedName>
    <definedName name="Data39" localSheetId="2">#REF!</definedName>
    <definedName name="Data39">#REF!</definedName>
    <definedName name="Data4" localSheetId="3">#REF!</definedName>
    <definedName name="Data4" localSheetId="1">#REF!</definedName>
    <definedName name="Data4" localSheetId="2">#REF!</definedName>
    <definedName name="Data4">#REF!</definedName>
    <definedName name="Data40" localSheetId="3">#REF!</definedName>
    <definedName name="Data40" localSheetId="1">#REF!</definedName>
    <definedName name="Data40" localSheetId="2">#REF!</definedName>
    <definedName name="Data40">#REF!</definedName>
    <definedName name="Data41" localSheetId="3">#REF!</definedName>
    <definedName name="Data41" localSheetId="1">#REF!</definedName>
    <definedName name="Data41" localSheetId="2">#REF!</definedName>
    <definedName name="Data41">#REF!</definedName>
    <definedName name="Data42" localSheetId="3">#REF!</definedName>
    <definedName name="Data42" localSheetId="1">#REF!</definedName>
    <definedName name="Data42" localSheetId="2">#REF!</definedName>
    <definedName name="Data42">#REF!</definedName>
    <definedName name="Data43" localSheetId="3">#REF!</definedName>
    <definedName name="Data43" localSheetId="1">#REF!</definedName>
    <definedName name="Data43" localSheetId="2">#REF!</definedName>
    <definedName name="Data43">#REF!</definedName>
    <definedName name="Data44" localSheetId="3">#REF!</definedName>
    <definedName name="Data44" localSheetId="1">#REF!</definedName>
    <definedName name="Data44" localSheetId="2">#REF!</definedName>
    <definedName name="Data44">#REF!</definedName>
    <definedName name="Data45" localSheetId="3">#REF!</definedName>
    <definedName name="Data45" localSheetId="1">#REF!</definedName>
    <definedName name="Data45" localSheetId="2">#REF!</definedName>
    <definedName name="Data45">#REF!</definedName>
    <definedName name="Data46" localSheetId="3">#REF!</definedName>
    <definedName name="Data46" localSheetId="1">#REF!</definedName>
    <definedName name="Data46" localSheetId="2">#REF!</definedName>
    <definedName name="Data46">#REF!</definedName>
    <definedName name="Data47" localSheetId="3">#REF!</definedName>
    <definedName name="Data47" localSheetId="1">#REF!</definedName>
    <definedName name="Data47" localSheetId="2">#REF!</definedName>
    <definedName name="Data47">#REF!</definedName>
    <definedName name="Data48" localSheetId="3">#REF!</definedName>
    <definedName name="Data48" localSheetId="1">#REF!</definedName>
    <definedName name="Data48" localSheetId="2">#REF!</definedName>
    <definedName name="Data48">#REF!</definedName>
    <definedName name="Data49" localSheetId="3">#REF!</definedName>
    <definedName name="Data49" localSheetId="1">#REF!</definedName>
    <definedName name="Data49" localSheetId="2">#REF!</definedName>
    <definedName name="Data49">#REF!</definedName>
    <definedName name="Data5" localSheetId="3">#REF!</definedName>
    <definedName name="Data5" localSheetId="1">#REF!</definedName>
    <definedName name="Data5" localSheetId="2">#REF!</definedName>
    <definedName name="Data5">#REF!</definedName>
    <definedName name="Data50" localSheetId="3">#REF!</definedName>
    <definedName name="Data50" localSheetId="1">#REF!</definedName>
    <definedName name="Data50" localSheetId="2">#REF!</definedName>
    <definedName name="Data50">#REF!</definedName>
    <definedName name="Data51" localSheetId="3">#REF!</definedName>
    <definedName name="Data51" localSheetId="1">#REF!</definedName>
    <definedName name="Data51" localSheetId="2">#REF!</definedName>
    <definedName name="Data51">#REF!</definedName>
    <definedName name="Data52" localSheetId="3">#REF!</definedName>
    <definedName name="Data52" localSheetId="1">#REF!</definedName>
    <definedName name="Data52" localSheetId="2">#REF!</definedName>
    <definedName name="Data52">#REF!</definedName>
    <definedName name="Data53" localSheetId="3">#REF!</definedName>
    <definedName name="Data53" localSheetId="1">#REF!</definedName>
    <definedName name="Data53" localSheetId="2">#REF!</definedName>
    <definedName name="Data53">#REF!</definedName>
    <definedName name="Data54" localSheetId="3">#REF!</definedName>
    <definedName name="Data54" localSheetId="1">#REF!</definedName>
    <definedName name="Data54" localSheetId="2">#REF!</definedName>
    <definedName name="Data54">#REF!</definedName>
    <definedName name="Data55" localSheetId="3">#REF!</definedName>
    <definedName name="Data55" localSheetId="1">#REF!</definedName>
    <definedName name="Data55" localSheetId="2">#REF!</definedName>
    <definedName name="Data55">#REF!</definedName>
    <definedName name="Data56" localSheetId="3">#REF!</definedName>
    <definedName name="Data56" localSheetId="1">#REF!</definedName>
    <definedName name="Data56" localSheetId="2">#REF!</definedName>
    <definedName name="Data56">#REF!</definedName>
    <definedName name="Data57" localSheetId="3">#REF!</definedName>
    <definedName name="Data57" localSheetId="1">#REF!</definedName>
    <definedName name="Data57" localSheetId="2">#REF!</definedName>
    <definedName name="Data57">#REF!</definedName>
    <definedName name="Data58" localSheetId="3">#REF!</definedName>
    <definedName name="Data58" localSheetId="1">#REF!</definedName>
    <definedName name="Data58" localSheetId="2">#REF!</definedName>
    <definedName name="Data58">#REF!</definedName>
    <definedName name="Data59" localSheetId="3">#REF!</definedName>
    <definedName name="Data59" localSheetId="1">#REF!</definedName>
    <definedName name="Data59" localSheetId="2">#REF!</definedName>
    <definedName name="Data59">#REF!</definedName>
    <definedName name="Data6" localSheetId="3">#REF!</definedName>
    <definedName name="Data6" localSheetId="1">#REF!</definedName>
    <definedName name="Data6" localSheetId="2">#REF!</definedName>
    <definedName name="Data6">#REF!</definedName>
    <definedName name="Data60" localSheetId="3">#REF!</definedName>
    <definedName name="Data60" localSheetId="1">#REF!</definedName>
    <definedName name="Data60" localSheetId="2">#REF!</definedName>
    <definedName name="Data60">#REF!</definedName>
    <definedName name="Data61" localSheetId="3">#REF!</definedName>
    <definedName name="Data61" localSheetId="1">#REF!</definedName>
    <definedName name="Data61" localSheetId="2">#REF!</definedName>
    <definedName name="Data61">#REF!</definedName>
    <definedName name="Data62" localSheetId="3">#REF!</definedName>
    <definedName name="Data62" localSheetId="1">#REF!</definedName>
    <definedName name="Data62" localSheetId="2">#REF!</definedName>
    <definedName name="Data62">#REF!</definedName>
    <definedName name="Data63" localSheetId="3">#REF!</definedName>
    <definedName name="Data63" localSheetId="1">#REF!</definedName>
    <definedName name="Data63" localSheetId="2">#REF!</definedName>
    <definedName name="Data63">#REF!</definedName>
    <definedName name="Data64" localSheetId="3">#REF!</definedName>
    <definedName name="Data64" localSheetId="1">#REF!</definedName>
    <definedName name="Data64" localSheetId="2">#REF!</definedName>
    <definedName name="Data64">#REF!</definedName>
    <definedName name="Data65" localSheetId="3">#REF!</definedName>
    <definedName name="Data65" localSheetId="1">#REF!</definedName>
    <definedName name="Data65" localSheetId="2">#REF!</definedName>
    <definedName name="Data65">#REF!</definedName>
    <definedName name="Data66" localSheetId="3">#REF!</definedName>
    <definedName name="Data66" localSheetId="1">#REF!</definedName>
    <definedName name="Data66" localSheetId="2">#REF!</definedName>
    <definedName name="Data66">#REF!</definedName>
    <definedName name="Data67" localSheetId="3">#REF!</definedName>
    <definedName name="Data67" localSheetId="1">#REF!</definedName>
    <definedName name="Data67" localSheetId="2">#REF!</definedName>
    <definedName name="Data67">#REF!</definedName>
    <definedName name="Data68" localSheetId="3">#REF!</definedName>
    <definedName name="Data68" localSheetId="1">#REF!</definedName>
    <definedName name="Data68" localSheetId="2">#REF!</definedName>
    <definedName name="Data68">#REF!</definedName>
    <definedName name="Data69" localSheetId="3">#REF!</definedName>
    <definedName name="Data69" localSheetId="1">#REF!</definedName>
    <definedName name="Data69" localSheetId="2">#REF!</definedName>
    <definedName name="Data69">#REF!</definedName>
    <definedName name="Data7" localSheetId="3">#REF!</definedName>
    <definedName name="Data7" localSheetId="1">#REF!</definedName>
    <definedName name="Data7" localSheetId="2">#REF!</definedName>
    <definedName name="Data7">#REF!</definedName>
    <definedName name="Data70" localSheetId="3">#REF!</definedName>
    <definedName name="Data70" localSheetId="1">#REF!</definedName>
    <definedName name="Data70" localSheetId="2">#REF!</definedName>
    <definedName name="Data70">#REF!</definedName>
    <definedName name="Data71" localSheetId="3">#REF!</definedName>
    <definedName name="Data71" localSheetId="1">#REF!</definedName>
    <definedName name="Data71" localSheetId="2">#REF!</definedName>
    <definedName name="Data71">#REF!</definedName>
    <definedName name="Data72" localSheetId="3">#REF!</definedName>
    <definedName name="Data72" localSheetId="1">#REF!</definedName>
    <definedName name="Data72" localSheetId="2">#REF!</definedName>
    <definedName name="Data72">#REF!</definedName>
    <definedName name="Data73" localSheetId="3">#REF!</definedName>
    <definedName name="Data73" localSheetId="1">#REF!</definedName>
    <definedName name="Data73" localSheetId="2">#REF!</definedName>
    <definedName name="Data73">#REF!</definedName>
    <definedName name="Data74" localSheetId="3">#REF!</definedName>
    <definedName name="Data74" localSheetId="1">#REF!</definedName>
    <definedName name="Data74" localSheetId="2">#REF!</definedName>
    <definedName name="Data74">#REF!</definedName>
    <definedName name="Data75" localSheetId="3">#REF!</definedName>
    <definedName name="Data75" localSheetId="1">#REF!</definedName>
    <definedName name="Data75" localSheetId="2">#REF!</definedName>
    <definedName name="Data75">#REF!</definedName>
    <definedName name="Data76" localSheetId="3">#REF!</definedName>
    <definedName name="Data76" localSheetId="1">#REF!</definedName>
    <definedName name="Data76" localSheetId="2">#REF!</definedName>
    <definedName name="Data76">#REF!</definedName>
    <definedName name="Data77" localSheetId="3">#REF!</definedName>
    <definedName name="Data77" localSheetId="1">#REF!</definedName>
    <definedName name="Data77" localSheetId="2">#REF!</definedName>
    <definedName name="Data77">#REF!</definedName>
    <definedName name="Data78" localSheetId="3">#REF!</definedName>
    <definedName name="Data78" localSheetId="1">#REF!</definedName>
    <definedName name="Data78" localSheetId="2">#REF!</definedName>
    <definedName name="Data78">#REF!</definedName>
    <definedName name="Data79" localSheetId="3">#REF!</definedName>
    <definedName name="Data79" localSheetId="1">#REF!</definedName>
    <definedName name="Data79" localSheetId="2">#REF!</definedName>
    <definedName name="Data79">#REF!</definedName>
    <definedName name="Data8" localSheetId="3">#REF!</definedName>
    <definedName name="Data8" localSheetId="1">#REF!</definedName>
    <definedName name="Data8" localSheetId="2">#REF!</definedName>
    <definedName name="Data8">#REF!</definedName>
    <definedName name="Data80" localSheetId="3">#REF!</definedName>
    <definedName name="Data80" localSheetId="1">#REF!</definedName>
    <definedName name="Data80" localSheetId="2">#REF!</definedName>
    <definedName name="Data80">#REF!</definedName>
    <definedName name="Data81" localSheetId="3">#REF!</definedName>
    <definedName name="Data81" localSheetId="1">#REF!</definedName>
    <definedName name="Data81" localSheetId="2">#REF!</definedName>
    <definedName name="Data81">#REF!</definedName>
    <definedName name="Data82" localSheetId="3">#REF!</definedName>
    <definedName name="Data82" localSheetId="1">#REF!</definedName>
    <definedName name="Data82" localSheetId="2">#REF!</definedName>
    <definedName name="Data82">#REF!</definedName>
    <definedName name="Data83" localSheetId="3">#REF!</definedName>
    <definedName name="Data83" localSheetId="1">#REF!</definedName>
    <definedName name="Data83" localSheetId="2">#REF!</definedName>
    <definedName name="Data83">#REF!</definedName>
    <definedName name="Data84" localSheetId="3">#REF!</definedName>
    <definedName name="Data84" localSheetId="1">#REF!</definedName>
    <definedName name="Data84" localSheetId="2">#REF!</definedName>
    <definedName name="Data84">#REF!</definedName>
    <definedName name="Data85" localSheetId="3">#REF!</definedName>
    <definedName name="Data85" localSheetId="1">#REF!</definedName>
    <definedName name="Data85" localSheetId="2">#REF!</definedName>
    <definedName name="Data85">#REF!</definedName>
    <definedName name="Data86" localSheetId="3">#REF!</definedName>
    <definedName name="Data86" localSheetId="1">#REF!</definedName>
    <definedName name="Data86" localSheetId="2">#REF!</definedName>
    <definedName name="Data86">#REF!</definedName>
    <definedName name="Data87" localSheetId="3">#REF!</definedName>
    <definedName name="Data87" localSheetId="1">#REF!</definedName>
    <definedName name="Data87" localSheetId="2">#REF!</definedName>
    <definedName name="Data87">#REF!</definedName>
    <definedName name="Data88" localSheetId="3">#REF!</definedName>
    <definedName name="Data88" localSheetId="1">#REF!</definedName>
    <definedName name="Data88" localSheetId="2">#REF!</definedName>
    <definedName name="Data88">#REF!</definedName>
    <definedName name="Data89" localSheetId="3">#REF!</definedName>
    <definedName name="Data89" localSheetId="1">#REF!</definedName>
    <definedName name="Data89" localSheetId="2">#REF!</definedName>
    <definedName name="Data89">#REF!</definedName>
    <definedName name="Data9" localSheetId="3">#REF!</definedName>
    <definedName name="Data9" localSheetId="1">#REF!</definedName>
    <definedName name="Data9" localSheetId="2">#REF!</definedName>
    <definedName name="Data9">#REF!</definedName>
    <definedName name="Data90" localSheetId="3">#REF!</definedName>
    <definedName name="Data90" localSheetId="1">#REF!</definedName>
    <definedName name="Data90" localSheetId="2">#REF!</definedName>
    <definedName name="Data90">#REF!</definedName>
    <definedName name="Data91" localSheetId="3">#REF!</definedName>
    <definedName name="Data91" localSheetId="1">#REF!</definedName>
    <definedName name="Data91" localSheetId="2">#REF!</definedName>
    <definedName name="Data91">#REF!</definedName>
    <definedName name="Data92" localSheetId="3">#REF!</definedName>
    <definedName name="Data92" localSheetId="1">#REF!</definedName>
    <definedName name="Data92" localSheetId="2">#REF!</definedName>
    <definedName name="Data92">#REF!</definedName>
    <definedName name="Data93" localSheetId="3">#REF!</definedName>
    <definedName name="Data93" localSheetId="1">#REF!</definedName>
    <definedName name="Data93" localSheetId="2">#REF!</definedName>
    <definedName name="Data93">#REF!</definedName>
    <definedName name="Data94" localSheetId="3">#REF!</definedName>
    <definedName name="Data94" localSheetId="1">#REF!</definedName>
    <definedName name="Data94" localSheetId="2">#REF!</definedName>
    <definedName name="Data94">#REF!</definedName>
    <definedName name="Data95" localSheetId="3">#REF!</definedName>
    <definedName name="Data95" localSheetId="1">#REF!</definedName>
    <definedName name="Data95" localSheetId="2">#REF!</definedName>
    <definedName name="Data95">#REF!</definedName>
    <definedName name="Data96" localSheetId="3">#REF!</definedName>
    <definedName name="Data96" localSheetId="1">#REF!</definedName>
    <definedName name="Data96" localSheetId="2">#REF!</definedName>
    <definedName name="Data96">#REF!</definedName>
    <definedName name="Data97" localSheetId="3">#REF!</definedName>
    <definedName name="Data97" localSheetId="1">#REF!</definedName>
    <definedName name="Data97" localSheetId="2">#REF!</definedName>
    <definedName name="Data97">#REF!</definedName>
    <definedName name="Data98" localSheetId="3">#REF!</definedName>
    <definedName name="Data98" localSheetId="1">#REF!</definedName>
    <definedName name="Data98" localSheetId="2">#REF!</definedName>
    <definedName name="Data98">#REF!</definedName>
    <definedName name="Data99" localSheetId="3">#REF!</definedName>
    <definedName name="Data99" localSheetId="1">#REF!</definedName>
    <definedName name="Data99" localSheetId="2">#REF!</definedName>
    <definedName name="Data99">#REF!</definedName>
    <definedName name="HikiFilePath" localSheetId="3">#REF!</definedName>
    <definedName name="HikiFilePath" localSheetId="1">#REF!</definedName>
    <definedName name="HikiFilePath" localSheetId="2">#REF!</definedName>
    <definedName name="HikiFilePath">#REF!</definedName>
    <definedName name="KanriJoutaiArea" localSheetId="3">#REF!</definedName>
    <definedName name="KanriJoutaiArea" localSheetId="1">#REF!</definedName>
    <definedName name="KanriJoutaiArea" localSheetId="2">#REF!</definedName>
    <definedName name="KanriJoutaiArea">#REF!</definedName>
    <definedName name="ListName20" localSheetId="3">#REF!</definedName>
    <definedName name="ListName20" localSheetId="1">#REF!</definedName>
    <definedName name="ListName20" localSheetId="2">#REF!</definedName>
    <definedName name="ListName20">#REF!</definedName>
    <definedName name="ListName21" localSheetId="3">#REF!</definedName>
    <definedName name="ListName21" localSheetId="1">#REF!</definedName>
    <definedName name="ListName21" localSheetId="2">#REF!</definedName>
    <definedName name="ListName21">#REF!</definedName>
    <definedName name="ListName24" localSheetId="3">#REF!</definedName>
    <definedName name="ListName24" localSheetId="1">#REF!</definedName>
    <definedName name="ListName24" localSheetId="2">#REF!</definedName>
    <definedName name="ListName24">#REF!</definedName>
    <definedName name="ListName25" localSheetId="3">#REF!</definedName>
    <definedName name="ListName25" localSheetId="1">#REF!</definedName>
    <definedName name="ListName25" localSheetId="2">#REF!</definedName>
    <definedName name="ListName25">#REF!</definedName>
    <definedName name="ListName58" localSheetId="3">#REF!</definedName>
    <definedName name="ListName58" localSheetId="1">#REF!</definedName>
    <definedName name="ListName58" localSheetId="2">#REF!</definedName>
    <definedName name="ListName58">#REF!</definedName>
    <definedName name="ListName59" localSheetId="3">#REF!</definedName>
    <definedName name="ListName59" localSheetId="1">#REF!</definedName>
    <definedName name="ListName59" localSheetId="2">#REF!</definedName>
    <definedName name="ListName59">#REF!</definedName>
    <definedName name="ListName60" localSheetId="3">#REF!</definedName>
    <definedName name="ListName60" localSheetId="1">#REF!</definedName>
    <definedName name="ListName60" localSheetId="2">#REF!</definedName>
    <definedName name="ListName60">#REF!</definedName>
    <definedName name="ListName61" localSheetId="3">#REF!</definedName>
    <definedName name="ListName61" localSheetId="1">#REF!</definedName>
    <definedName name="ListName61" localSheetId="2">#REF!</definedName>
    <definedName name="ListName61">#REF!</definedName>
    <definedName name="ListName63" localSheetId="3">#REF!</definedName>
    <definedName name="ListName63" localSheetId="1">#REF!</definedName>
    <definedName name="ListName63" localSheetId="2">#REF!</definedName>
    <definedName name="ListName63">#REF!</definedName>
    <definedName name="ListName64" localSheetId="3">#REF!</definedName>
    <definedName name="ListName64" localSheetId="1">#REF!</definedName>
    <definedName name="ListName64" localSheetId="2">#REF!</definedName>
    <definedName name="ListName64">#REF!</definedName>
    <definedName name="ListName65" localSheetId="3">#REF!</definedName>
    <definedName name="ListName65" localSheetId="1">#REF!</definedName>
    <definedName name="ListName65" localSheetId="2">#REF!</definedName>
    <definedName name="ListName65">#REF!</definedName>
    <definedName name="ListName66" localSheetId="3">#REF!</definedName>
    <definedName name="ListName66" localSheetId="1">#REF!</definedName>
    <definedName name="ListName66" localSheetId="2">#REF!</definedName>
    <definedName name="ListName66">#REF!</definedName>
    <definedName name="ListName67" localSheetId="3">#REF!</definedName>
    <definedName name="ListName67" localSheetId="1">#REF!</definedName>
    <definedName name="ListName67" localSheetId="2">#REF!</definedName>
    <definedName name="ListName67">#REF!</definedName>
    <definedName name="ListName68" localSheetId="3">#REF!</definedName>
    <definedName name="ListName68" localSheetId="1">#REF!</definedName>
    <definedName name="ListName68" localSheetId="2">#REF!</definedName>
    <definedName name="ListName68">#REF!</definedName>
    <definedName name="ListName69" localSheetId="3">#REF!</definedName>
    <definedName name="ListName69" localSheetId="1">#REF!</definedName>
    <definedName name="ListName69" localSheetId="2">#REF!</definedName>
    <definedName name="ListName69">#REF!</definedName>
    <definedName name="ListName70" localSheetId="3">#REF!</definedName>
    <definedName name="ListName70" localSheetId="1">#REF!</definedName>
    <definedName name="ListName70" localSheetId="2">#REF!</definedName>
    <definedName name="ListName70">#REF!</definedName>
    <definedName name="ListName71" localSheetId="3">#REF!</definedName>
    <definedName name="ListName71" localSheetId="1">#REF!</definedName>
    <definedName name="ListName71" localSheetId="2">#REF!</definedName>
    <definedName name="ListName71">#REF!</definedName>
    <definedName name="ListName72" localSheetId="3">#REF!</definedName>
    <definedName name="ListName72" localSheetId="1">#REF!</definedName>
    <definedName name="ListName72" localSheetId="2">#REF!</definedName>
    <definedName name="ListName72">#REF!</definedName>
    <definedName name="ListName9" localSheetId="3">#REF!</definedName>
    <definedName name="ListName9" localSheetId="1">#REF!</definedName>
    <definedName name="ListName9" localSheetId="2">#REF!</definedName>
    <definedName name="ListName9">#REF!</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ame1" localSheetId="3">#REF!</definedName>
    <definedName name="Name1" localSheetId="1">#REF!</definedName>
    <definedName name="Name1" localSheetId="2">#REF!</definedName>
    <definedName name="Name1">#REF!</definedName>
    <definedName name="Name10" localSheetId="3">#REF!</definedName>
    <definedName name="Name10" localSheetId="1">#REF!</definedName>
    <definedName name="Name10" localSheetId="2">#REF!</definedName>
    <definedName name="Name10">#REF!</definedName>
    <definedName name="Name100" localSheetId="3">#REF!</definedName>
    <definedName name="Name100" localSheetId="1">#REF!</definedName>
    <definedName name="Name100" localSheetId="2">#REF!</definedName>
    <definedName name="Name100">#REF!</definedName>
    <definedName name="Name11" localSheetId="3">#REF!</definedName>
    <definedName name="Name11" localSheetId="1">#REF!</definedName>
    <definedName name="Name11" localSheetId="2">#REF!</definedName>
    <definedName name="Name11">#REF!</definedName>
    <definedName name="Name12" localSheetId="3">#REF!</definedName>
    <definedName name="Name12" localSheetId="1">#REF!</definedName>
    <definedName name="Name12" localSheetId="2">#REF!</definedName>
    <definedName name="Name12">#REF!</definedName>
    <definedName name="Name13" localSheetId="3">#REF!</definedName>
    <definedName name="Name13" localSheetId="1">#REF!</definedName>
    <definedName name="Name13" localSheetId="2">#REF!</definedName>
    <definedName name="Name13">#REF!</definedName>
    <definedName name="Name14" localSheetId="3">#REF!</definedName>
    <definedName name="Name14" localSheetId="1">#REF!</definedName>
    <definedName name="Name14" localSheetId="2">#REF!</definedName>
    <definedName name="Name14">#REF!</definedName>
    <definedName name="Name15" localSheetId="3">#REF!</definedName>
    <definedName name="Name15" localSheetId="1">#REF!</definedName>
    <definedName name="Name15" localSheetId="2">#REF!</definedName>
    <definedName name="Name15">#REF!</definedName>
    <definedName name="Name16" localSheetId="3">#REF!</definedName>
    <definedName name="Name16" localSheetId="1">#REF!</definedName>
    <definedName name="Name16" localSheetId="2">#REF!</definedName>
    <definedName name="Name16">#REF!</definedName>
    <definedName name="Name17" localSheetId="3">#REF!</definedName>
    <definedName name="Name17" localSheetId="1">#REF!</definedName>
    <definedName name="Name17" localSheetId="2">#REF!</definedName>
    <definedName name="Name17">#REF!</definedName>
    <definedName name="Name18" localSheetId="3">#REF!</definedName>
    <definedName name="Name18" localSheetId="1">#REF!</definedName>
    <definedName name="Name18" localSheetId="2">#REF!</definedName>
    <definedName name="Name18">#REF!</definedName>
    <definedName name="Name19" localSheetId="3">#REF!</definedName>
    <definedName name="Name19" localSheetId="1">#REF!</definedName>
    <definedName name="Name19" localSheetId="2">#REF!</definedName>
    <definedName name="Name19">#REF!</definedName>
    <definedName name="Name2" localSheetId="3">#REF!</definedName>
    <definedName name="Name2" localSheetId="1">#REF!</definedName>
    <definedName name="Name2" localSheetId="2">#REF!</definedName>
    <definedName name="Name2">#REF!</definedName>
    <definedName name="Name20" localSheetId="3">#REF!</definedName>
    <definedName name="Name20" localSheetId="1">#REF!</definedName>
    <definedName name="Name20" localSheetId="2">#REF!</definedName>
    <definedName name="Name20">#REF!</definedName>
    <definedName name="Name21" localSheetId="3">#REF!</definedName>
    <definedName name="Name21" localSheetId="1">#REF!</definedName>
    <definedName name="Name21" localSheetId="2">#REF!</definedName>
    <definedName name="Name21">#REF!</definedName>
    <definedName name="Name29" localSheetId="3">#REF!</definedName>
    <definedName name="Name29" localSheetId="1">#REF!</definedName>
    <definedName name="Name29" localSheetId="2">#REF!</definedName>
    <definedName name="Name29">#REF!</definedName>
    <definedName name="Name3" localSheetId="3">#REF!</definedName>
    <definedName name="Name3" localSheetId="1">#REF!</definedName>
    <definedName name="Name3" localSheetId="2">#REF!</definedName>
    <definedName name="Name3">#REF!</definedName>
    <definedName name="Name52" localSheetId="3">#REF!</definedName>
    <definedName name="Name52" localSheetId="1">#REF!</definedName>
    <definedName name="Name52" localSheetId="2">#REF!</definedName>
    <definedName name="Name52">#REF!</definedName>
    <definedName name="Name53" localSheetId="3">#REF!</definedName>
    <definedName name="Name53" localSheetId="1">#REF!</definedName>
    <definedName name="Name53" localSheetId="2">#REF!</definedName>
    <definedName name="Name53">#REF!</definedName>
    <definedName name="Name54" localSheetId="3">#REF!</definedName>
    <definedName name="Name54" localSheetId="1">#REF!</definedName>
    <definedName name="Name54" localSheetId="2">#REF!</definedName>
    <definedName name="Name54">#REF!</definedName>
    <definedName name="Name55" localSheetId="3">#REF!</definedName>
    <definedName name="Name55" localSheetId="1">#REF!</definedName>
    <definedName name="Name55" localSheetId="2">#REF!</definedName>
    <definedName name="Name55">#REF!</definedName>
    <definedName name="Name56" localSheetId="3">#REF!</definedName>
    <definedName name="Name56" localSheetId="1">#REF!</definedName>
    <definedName name="Name56" localSheetId="2">#REF!</definedName>
    <definedName name="Name56">#REF!</definedName>
    <definedName name="Name57" localSheetId="3">#REF!</definedName>
    <definedName name="Name57" localSheetId="1">#REF!</definedName>
    <definedName name="Name57" localSheetId="2">#REF!</definedName>
    <definedName name="Name57">#REF!</definedName>
    <definedName name="Name58" localSheetId="3">#REF!</definedName>
    <definedName name="Name58" localSheetId="1">#REF!</definedName>
    <definedName name="Name58" localSheetId="2">#REF!</definedName>
    <definedName name="Name58">#REF!</definedName>
    <definedName name="Name59" localSheetId="3">#REF!</definedName>
    <definedName name="Name59" localSheetId="1">#REF!</definedName>
    <definedName name="Name59" localSheetId="2">#REF!</definedName>
    <definedName name="Name59">#REF!</definedName>
    <definedName name="Name60" localSheetId="3">#REF!</definedName>
    <definedName name="Name60" localSheetId="1">#REF!</definedName>
    <definedName name="Name60" localSheetId="2">#REF!</definedName>
    <definedName name="Name60">#REF!</definedName>
    <definedName name="Name61" localSheetId="3">#REF!</definedName>
    <definedName name="Name61" localSheetId="1">#REF!</definedName>
    <definedName name="Name61" localSheetId="2">#REF!</definedName>
    <definedName name="Name61">#REF!</definedName>
    <definedName name="Name62" localSheetId="3">#REF!</definedName>
    <definedName name="Name62" localSheetId="1">#REF!</definedName>
    <definedName name="Name62" localSheetId="2">#REF!</definedName>
    <definedName name="Name62">#REF!</definedName>
    <definedName name="Name63" localSheetId="3">#REF!</definedName>
    <definedName name="Name63" localSheetId="1">#REF!</definedName>
    <definedName name="Name63" localSheetId="2">#REF!</definedName>
    <definedName name="Name63">#REF!</definedName>
    <definedName name="Name64" localSheetId="3">#REF!</definedName>
    <definedName name="Name64" localSheetId="1">#REF!</definedName>
    <definedName name="Name64" localSheetId="2">#REF!</definedName>
    <definedName name="Name64">#REF!</definedName>
    <definedName name="Name68" localSheetId="3">#REF!</definedName>
    <definedName name="Name68" localSheetId="1">#REF!</definedName>
    <definedName name="Name68" localSheetId="2">#REF!</definedName>
    <definedName name="Name68">#REF!</definedName>
    <definedName name="Name69" localSheetId="3">#REF!</definedName>
    <definedName name="Name69" localSheetId="1">#REF!</definedName>
    <definedName name="Name69" localSheetId="2">#REF!</definedName>
    <definedName name="Name69">#REF!</definedName>
    <definedName name="Name70" localSheetId="3">#REF!</definedName>
    <definedName name="Name70" localSheetId="1">#REF!</definedName>
    <definedName name="Name70" localSheetId="2">#REF!</definedName>
    <definedName name="Name70">#REF!</definedName>
    <definedName name="Name71" localSheetId="3">#REF!</definedName>
    <definedName name="Name71" localSheetId="1">#REF!</definedName>
    <definedName name="Name71" localSheetId="2">#REF!</definedName>
    <definedName name="Name71">#REF!</definedName>
    <definedName name="Name72" localSheetId="3">#REF!</definedName>
    <definedName name="Name72" localSheetId="1">#REF!</definedName>
    <definedName name="Name72" localSheetId="2">#REF!</definedName>
    <definedName name="Name72">#REF!</definedName>
    <definedName name="Name73" localSheetId="3">#REF!</definedName>
    <definedName name="Name73" localSheetId="1">#REF!</definedName>
    <definedName name="Name73" localSheetId="2">#REF!</definedName>
    <definedName name="Name73">#REF!</definedName>
    <definedName name="Name74" localSheetId="3">#REF!</definedName>
    <definedName name="Name74" localSheetId="1">#REF!</definedName>
    <definedName name="Name74" localSheetId="2">#REF!</definedName>
    <definedName name="Name74">#REF!</definedName>
    <definedName name="Name81" localSheetId="3">#REF!</definedName>
    <definedName name="Name81" localSheetId="1">#REF!</definedName>
    <definedName name="Name81" localSheetId="2">#REF!</definedName>
    <definedName name="Name81">#REF!</definedName>
    <definedName name="Name82" localSheetId="3">#REF!</definedName>
    <definedName name="Name82" localSheetId="1">#REF!</definedName>
    <definedName name="Name82" localSheetId="2">#REF!</definedName>
    <definedName name="Name82">#REF!</definedName>
    <definedName name="Name83" localSheetId="3">#REF!</definedName>
    <definedName name="Name83" localSheetId="1">#REF!</definedName>
    <definedName name="Name83" localSheetId="2">#REF!</definedName>
    <definedName name="Name83">#REF!</definedName>
    <definedName name="Name9" localSheetId="3">#REF!</definedName>
    <definedName name="Name9" localSheetId="1">#REF!</definedName>
    <definedName name="Name9" localSheetId="2">#REF!</definedName>
    <definedName name="Name9">#REF!</definedName>
    <definedName name="Name97" localSheetId="3">#REF!</definedName>
    <definedName name="Name97" localSheetId="1">#REF!</definedName>
    <definedName name="Name97" localSheetId="2">#REF!</definedName>
    <definedName name="Name97">#REF!</definedName>
    <definedName name="Name98" localSheetId="3">#REF!</definedName>
    <definedName name="Name98" localSheetId="1">#REF!</definedName>
    <definedName name="Name98" localSheetId="2">#REF!</definedName>
    <definedName name="Name98">#REF!</definedName>
    <definedName name="Name99" localSheetId="3">#REF!</definedName>
    <definedName name="Name99" localSheetId="1">#REF!</definedName>
    <definedName name="Name99" localSheetId="2">#REF!</definedName>
    <definedName name="Name99">#REF!</definedName>
    <definedName name="_xlnm.Print_Area" localSheetId="3">data!$A$1:$K$83</definedName>
    <definedName name="_xlnm.Print_Area" localSheetId="1">'プロジェクト名(EMS-MM03)'!$A$1:$X$72</definedName>
    <definedName name="Print_Title" localSheetId="3">#REF!</definedName>
    <definedName name="Print_Title" localSheetId="1">#REF!</definedName>
    <definedName name="Print_Title" localSheetId="2">#REF!</definedName>
    <definedName name="Print_Title">#REF!</definedName>
    <definedName name="その他" localSheetId="3">#REF!</definedName>
    <definedName name="その他" localSheetId="1">#REF!</definedName>
    <definedName name="その他" localSheetId="2">#REF!</definedName>
    <definedName name="その他">#REF!</definedName>
    <definedName name="凡例" localSheetId="3">#REF!</definedName>
    <definedName name="凡例" localSheetId="1">#REF!</definedName>
    <definedName name="凡例" localSheetId="2">#REF!</definedName>
    <definedName name="凡例">#REF!</definedName>
    <definedName name="要件定義" localSheetId="3">#REF!</definedName>
    <definedName name="要件定義" localSheetId="1">#REF!</definedName>
    <definedName name="要件定義" localSheetId="2">#REF!</definedName>
    <definedName name="要件定義">#REF!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9" l="1"/>
  <c r="G29" i="9"/>
  <c r="G28" i="9"/>
  <c r="G1048576" i="9"/>
  <c r="G27" i="9"/>
  <c r="G26" i="9"/>
  <c r="G25" i="9"/>
  <c r="G24" i="9"/>
  <c r="G23" i="9"/>
  <c r="G22" i="9"/>
  <c r="G21" i="9"/>
  <c r="G20" i="9"/>
  <c r="G19" i="9"/>
  <c r="G18" i="9"/>
  <c r="G17" i="9"/>
  <c r="G16" i="9"/>
  <c r="G15" i="9"/>
  <c r="G14" i="9"/>
  <c r="G13" i="9"/>
  <c r="G12" i="9"/>
  <c r="G11" i="9"/>
  <c r="G10" i="9"/>
  <c r="G9" i="9"/>
  <c r="G8" i="9"/>
  <c r="G7" i="9"/>
  <c r="G6" i="9"/>
  <c r="G5" i="9"/>
  <c r="E9" i="11" l="1"/>
  <c r="J17" i="11"/>
  <c r="J16" i="11"/>
  <c r="E16" i="11"/>
  <c r="O15" i="11"/>
  <c r="J15" i="11"/>
  <c r="E15" i="11"/>
  <c r="T14" i="11"/>
  <c r="U14" i="11" s="1"/>
  <c r="R14" i="11"/>
  <c r="S14" i="11" s="1"/>
  <c r="O14" i="11"/>
  <c r="J14" i="11"/>
  <c r="E14" i="11"/>
  <c r="T13" i="11"/>
  <c r="U13" i="11" s="1"/>
  <c r="R13" i="11"/>
  <c r="S13" i="11" s="1"/>
  <c r="O13" i="11"/>
  <c r="J13" i="11"/>
  <c r="E13" i="11"/>
  <c r="T12" i="11"/>
  <c r="U12" i="11" s="1"/>
  <c r="R12" i="11"/>
  <c r="S12" i="11" s="1"/>
  <c r="O12" i="11"/>
  <c r="J12" i="11"/>
  <c r="E12" i="11"/>
  <c r="T11" i="11"/>
  <c r="U11" i="11" s="1"/>
  <c r="R11" i="11"/>
  <c r="S11" i="11" s="1"/>
  <c r="O11" i="11"/>
  <c r="J11" i="11"/>
  <c r="E11" i="11"/>
  <c r="T10" i="11"/>
  <c r="U10" i="11" s="1"/>
  <c r="R10" i="11"/>
  <c r="S10" i="11" s="1"/>
  <c r="O10" i="11"/>
  <c r="J10" i="11"/>
  <c r="E10" i="11"/>
  <c r="T9" i="11"/>
  <c r="U9" i="11" s="1"/>
  <c r="R9" i="11"/>
  <c r="S9" i="11" s="1"/>
  <c r="O9" i="11"/>
  <c r="J9" i="11"/>
  <c r="T17" i="11" l="1"/>
</calcChain>
</file>

<file path=xl/comments1.xml><?xml version="1.0" encoding="utf-8"?>
<comments xmlns="http://schemas.openxmlformats.org/spreadsheetml/2006/main">
  <authors>
    <author>Khin Cho Cho Tun</author>
  </authors>
  <commentList>
    <comment ref="P20" authorId="0" shapeId="0">
      <text>
        <r>
          <rPr>
            <b/>
            <sz val="9"/>
            <color indexed="81"/>
            <rFont val="Tahoma"/>
            <family val="2"/>
          </rPr>
          <t xml:space="preserve">「本来ｘｘｘで、ｙｙｙすべきところで、ｚｚｚしていた／ｚｚｚの実装が漏れていた」等、故障原因を具体的に書いてください。
</t>
        </r>
      </text>
    </comment>
    <comment ref="S20" authorId="0" shapeId="0">
      <text>
        <r>
          <rPr>
            <b/>
            <sz val="9"/>
            <color indexed="81"/>
            <rFont val="Tahoma"/>
            <family val="2"/>
          </rPr>
          <t xml:space="preserve">横並びチェックしたプログラム（モジュール）名か設計書名を記入してください。
</t>
        </r>
      </text>
    </comment>
  </commentList>
</comments>
</file>

<file path=xl/sharedStrings.xml><?xml version="1.0" encoding="utf-8"?>
<sst xmlns="http://schemas.openxmlformats.org/spreadsheetml/2006/main" count="381" uniqueCount="285">
  <si>
    <t>Check Details
観点詳細内容(Details)</t>
  </si>
  <si>
    <t>Explanation
説明</t>
  </si>
  <si>
    <t>Match with Screen Design Document
画面設計書との整合性</t>
  </si>
  <si>
    <t>No missing implemented screen design document.
実装済み画面が設計書に漏れなく対応している</t>
  </si>
  <si>
    <t>No extra functionality beyond what screen design document describe 
設計書以上の余計な機能を追加していない
不要機能・不要要素が存在しない</t>
  </si>
  <si>
    <t>UI labels match with design document.
画面上のラベル・文言・メッセージ（成功／失敗）が設計どおり</t>
  </si>
  <si>
    <t>Success, error and all message match with Requirement.
画面上のメッセージ（成功／失敗）が設計どおり</t>
  </si>
  <si>
    <t>Business logic described in design is enforced in the UI
設計で定義された業務ルールがUIで正しく担保
画面ごとに設計トレースが可能（項目・文言・遷移が一致）</t>
  </si>
  <si>
    <t xml:space="preserve">UI Initial State
初期表示状態
</t>
  </si>
  <si>
    <t>UI(Initial Screen) loads with appropriate default data or placeholders
初期表示で適切なデフォルト値またはプレースホルダが表示</t>
  </si>
  <si>
    <t>No broken layout or flickering on first render
初回レンダリングでレイアウト崩れ・チラつきがない</t>
  </si>
  <si>
    <t>Default values match requirements
デフォルト値が要件に合致</t>
  </si>
  <si>
    <t>Action buttons are correctly enabled/disabled on first load
初回ロード時、アクションボタンの有効／無効が妥当（未入力時は無効など）</t>
  </si>
  <si>
    <t>Loading State
ローディング状態</t>
  </si>
  <si>
    <t>User cannot trigger duplicate requests during loading
データ取得・送信中は明確なローディング表示がある
ローディング中にユーザーが重複操作（多重送信）できない
Prevent double-clicking of buttons (disabled/throttle)
Progress indicator now toggles on/off correctly
ボタンの二重クリック防止（disabled／throttle）
進行中インジケータの表示／非表示が正しく切り替わる</t>
  </si>
  <si>
    <t>Success State
成功状態</t>
  </si>
  <si>
    <t>Success message or confirmation UI is displayed
成功メッセージまたは確認UIが表示される。</t>
  </si>
  <si>
    <t>Data displayed reflects the latest successful result
表示されるデータが直近の成功結果を正しく反映</t>
  </si>
  <si>
    <t>Error State
エラー状態</t>
  </si>
  <si>
    <t>Error messages are shown for Network failures
ネットワーク失敗時のエラーメッセージ表示</t>
  </si>
  <si>
    <t>Error messages are shown for Server Side errors
サーバーエラー（500／アプリエラー）時の表示</t>
  </si>
  <si>
    <t>Error messages are shown for Validation errors
バリデーションエラーのフィールド別メッセージ表示</t>
  </si>
  <si>
    <t>Error messages are User-friendly and understandable
エラーメッセージが分かりやすく、ユーザーに理解可能</t>
  </si>
  <si>
    <t>UI does not remain stuck in loading or broken state after error
画面が壊れた状態のまま残らない（ローディング解除、入力復元）</t>
  </si>
  <si>
    <t>Data
データ取扱い</t>
  </si>
  <si>
    <t>Null, undefined, and optional fields are safely handled
null／undefined／optional の安全な取り扱い</t>
  </si>
  <si>
    <t>Extreme values (0, max, min, long strings) do not break logic
極端な値（0、最大・最小、長文、空配列、空文字）でロジック破綻しない</t>
  </si>
  <si>
    <t>Special characters and long text do not break layout
特殊文字や多バイトでレイアウト崩れがない</t>
  </si>
  <si>
    <t>Readability / Consistency (API contract / response schema consistency)</t>
  </si>
  <si>
    <t>Duplicate or unexpected values handled gracefully
重複・想定外値を穏当に処理（graceful degradation）</t>
  </si>
  <si>
    <t>User Interaction
 ユーザー操作</t>
  </si>
  <si>
    <t>Rapid multiple clicks/taps do not cause duplicate actions
連打・素早いタップでも重複アクションが発生しない
入力が無効なときは送信・保存がブロックされる</t>
  </si>
  <si>
    <t>System &amp; Environment
システム連携・環境</t>
  </si>
  <si>
    <t>Form submission blocked when inputs are invalid
入力が無効な場合、フォームの送信がブロックされる</t>
  </si>
  <si>
    <t>API timeout or partial failure handled correctly
APIが停止／部分障害のときのエラー処理（リトライ／フォールバック）
オフライン／低帯域時の扱い（メッセージ、再試行誘導）
例外時にUIがフリーズしない、ユーザーが次アクションを理解できる</t>
  </si>
  <si>
    <t>Project Structure &amp; Architecture
プロジェクト構成</t>
  </si>
  <si>
    <t xml:space="preserve">Project follows approved Folder Structure
</t>
  </si>
  <si>
    <t>Component separated into meaningful components</t>
  </si>
  <si>
    <t>Split large components tinto smaller stateless/stateful widgets; one widget=one responsibility</t>
  </si>
  <si>
    <t>UX</t>
  </si>
  <si>
    <t>UI states are visually consistent with design guidelines
スタイル・コンポーネント・インタラクションがデザインガイドに準拠</t>
  </si>
  <si>
    <t>No console errors, dead code left behind
コンソールエラーが出ない／デッドコードが残っていない</t>
  </si>
  <si>
    <t>Reusability
再利用性</t>
  </si>
  <si>
    <t>Common UI state logic is reused (shared hooks/utilities)
共通状態ロジックの再利用（Composable/Shared Hooks/ユーティリティ）</t>
  </si>
  <si>
    <t>No copy-paste logic across components
コピペ実装を避け、コンポーネント分割が適切</t>
  </si>
  <si>
    <t>Readability
可読性</t>
  </si>
  <si>
    <t>Code is easy to read and follows team conventions
コードが読みやすく、チームの規約に従う</t>
  </si>
  <si>
    <t>Variable and function names are meaningful and consistent
変数名・関数名が意味的で一貫している</t>
  </si>
  <si>
    <t>Bug Management</t>
  </si>
  <si>
    <t>System Name</t>
  </si>
  <si>
    <t>Test activity</t>
  </si>
  <si>
    <t>Update Date</t>
  </si>
  <si>
    <t>M</t>
  </si>
  <si>
    <t>Create Item</t>
  </si>
  <si>
    <t>Implement</t>
  </si>
  <si>
    <t>UT</t>
  </si>
  <si>
    <t>M process Count</t>
  </si>
  <si>
    <t>Opening</t>
  </si>
  <si>
    <t>UT Created Item Process Count</t>
  </si>
  <si>
    <t>UT implementation processes Count</t>
  </si>
  <si>
    <t>エラー種類</t>
    <phoneticPr fontId="1"/>
  </si>
  <si>
    <t>Correctiong</t>
  </si>
  <si>
    <t>Correction</t>
  </si>
  <si>
    <t>correction</t>
  </si>
  <si>
    <t>Confirming</t>
  </si>
  <si>
    <t>Complete</t>
  </si>
  <si>
    <t>Error</t>
  </si>
  <si>
    <t>M_Rv</t>
  </si>
  <si>
    <t>UT_ItemCreate</t>
  </si>
  <si>
    <t>UT_Implement</t>
  </si>
  <si>
    <t>Bug</t>
  </si>
  <si>
    <t>M_Create</t>
  </si>
  <si>
    <t>UT_ItemCreate_Rv</t>
  </si>
  <si>
    <t>UT Implement Total</t>
  </si>
  <si>
    <t>UT Implement</t>
  </si>
  <si>
    <t>PG Process Total</t>
  </si>
  <si>
    <t>M Process Total</t>
  </si>
  <si>
    <t>UT Create Item Total</t>
  </si>
  <si>
    <t>合計</t>
    <rPh sb="0" eb="2">
      <t>ゴウケイ</t>
    </rPh>
    <phoneticPr fontId="1"/>
  </si>
  <si>
    <t>番号
No</t>
  </si>
  <si>
    <t xml:space="preserve">作業項目の種類
Types of Work Items </t>
  </si>
  <si>
    <t xml:space="preserve">エラー種類
Error Type </t>
  </si>
  <si>
    <t>タイトル
Title</t>
  </si>
  <si>
    <t>プログラム名
Program Name</t>
  </si>
  <si>
    <t>メソッド名
Method Name・チェックポイント</t>
  </si>
  <si>
    <t>フェーズ(工程)
Phase</t>
  </si>
  <si>
    <t>担当者
Incharged Person</t>
  </si>
  <si>
    <t xml:space="preserve">レビュー者
/発行者
Reviewer
/Issuer </t>
  </si>
  <si>
    <t>状態
Situation</t>
  </si>
  <si>
    <t>故障状況[詳細内容]
Failure Status [Details]</t>
  </si>
  <si>
    <t>発行日付
Issue Date</t>
  </si>
  <si>
    <t>使用ファイル(バージョン/リビジョン)
File Used/Version</t>
  </si>
  <si>
    <t>修正者
Update Person</t>
  </si>
  <si>
    <t xml:space="preserve">
修正内容
Update Detail
</t>
  </si>
  <si>
    <t>故障原因
Failure cause</t>
  </si>
  <si>
    <t>バグ原因
Bug cause</t>
  </si>
  <si>
    <t>修正日付
Update Date</t>
  </si>
  <si>
    <t>横並びチェック
Side-by-Side Check</t>
  </si>
  <si>
    <t>バージョン/リビジョン(プログラム)
Version / Revision (program)</t>
  </si>
  <si>
    <t>確認結果
Confrimation Result</t>
  </si>
  <si>
    <t>確認者
Confirmation Person</t>
  </si>
  <si>
    <t>確認日付
Confirmation Date</t>
  </si>
  <si>
    <t>備考
Remark</t>
  </si>
  <si>
    <t>画面設計書との整合性</t>
  </si>
  <si>
    <t>実装済み画面が設計書に漏れなく対応している</t>
  </si>
  <si>
    <t>可読性</t>
  </si>
  <si>
    <t>エラー状態</t>
  </si>
  <si>
    <t>故障処理票記入要領</t>
    <rPh sb="0" eb="2">
      <t>コショウ</t>
    </rPh>
    <rPh sb="2" eb="4">
      <t>ショリ</t>
    </rPh>
    <rPh sb="4" eb="5">
      <t>ヒョウ</t>
    </rPh>
    <rPh sb="5" eb="7">
      <t>キニュウ</t>
    </rPh>
    <rPh sb="7" eb="9">
      <t>ヨウリョウ</t>
    </rPh>
    <phoneticPr fontId="2"/>
  </si>
  <si>
    <t>■分類観点と分析ポイント</t>
    <rPh sb="1" eb="3">
      <t>ブンルイ</t>
    </rPh>
    <rPh sb="3" eb="5">
      <t>カンテン</t>
    </rPh>
    <phoneticPr fontId="2"/>
  </si>
  <si>
    <t>No.</t>
    <phoneticPr fontId="2"/>
  </si>
  <si>
    <t>記入項目</t>
    <rPh sb="0" eb="2">
      <t>キニュウ</t>
    </rPh>
    <rPh sb="2" eb="4">
      <t>コウモク</t>
    </rPh>
    <phoneticPr fontId="2"/>
  </si>
  <si>
    <t>分析のポイント</t>
  </si>
  <si>
    <t>細番</t>
    <phoneticPr fontId="2"/>
  </si>
  <si>
    <t>詳細項目</t>
  </si>
  <si>
    <t>詳細項目の説明</t>
  </si>
  <si>
    <r>
      <t xml:space="preserve">バグ原因：
仕様書不備の問題
</t>
    </r>
    <r>
      <rPr>
        <sz val="12"/>
        <color rgb="FFFF0000"/>
        <rFont val="Seigo UI"/>
        <family val="2"/>
      </rPr>
      <t>Cause of Bug:
Specification Problem</t>
    </r>
    <r>
      <rPr>
        <sz val="12"/>
        <color indexed="8"/>
        <rFont val="Seigo UI"/>
        <family val="2"/>
      </rPr>
      <t xml:space="preserve">
</t>
    </r>
  </si>
  <si>
    <t>設計工程の成果物に問題が無いかの確認</t>
    <rPh sb="0" eb="2">
      <t>セッケイ</t>
    </rPh>
    <rPh sb="2" eb="4">
      <t>コウテイ</t>
    </rPh>
    <rPh sb="5" eb="7">
      <t>セイカ</t>
    </rPh>
    <rPh sb="7" eb="8">
      <t>ブツ</t>
    </rPh>
    <rPh sb="9" eb="11">
      <t>モンダイ</t>
    </rPh>
    <rPh sb="12" eb="13">
      <t>ナ</t>
    </rPh>
    <rPh sb="16" eb="18">
      <t>カクニン</t>
    </rPh>
    <phoneticPr fontId="2"/>
  </si>
  <si>
    <t xml:space="preserve">1A </t>
    <phoneticPr fontId="2"/>
  </si>
  <si>
    <r>
      <t xml:space="preserve">記述もれ(記述なし)
</t>
    </r>
    <r>
      <rPr>
        <sz val="12"/>
        <color rgb="FFFF0000"/>
        <rFont val="Seigo UI"/>
        <family val="2"/>
      </rPr>
      <t>No Description</t>
    </r>
  </si>
  <si>
    <r>
      <t xml:space="preserve">仕様書に記述すべきことが記述されていなかった（処理そのものがもれていた又は抜けていた）
</t>
    </r>
    <r>
      <rPr>
        <sz val="12"/>
        <color rgb="FFFF0000"/>
        <rFont val="Seigo UI"/>
        <family val="2"/>
      </rPr>
      <t>It should be described in the specification but it has not been described</t>
    </r>
  </si>
  <si>
    <t xml:space="preserve">1B </t>
    <phoneticPr fontId="2"/>
  </si>
  <si>
    <r>
      <rPr>
        <sz val="12"/>
        <color rgb="FF000000"/>
        <rFont val="Seigo UI"/>
      </rPr>
      <t xml:space="preserve">記述誤り
</t>
    </r>
    <r>
      <rPr>
        <sz val="12"/>
        <color rgb="FFFF0000"/>
        <rFont val="Seigo UI"/>
      </rPr>
      <t>Leakage of Description</t>
    </r>
  </si>
  <si>
    <r>
      <t xml:space="preserve">設計内容が誤っていたのを気づかなかった
</t>
    </r>
    <r>
      <rPr>
        <sz val="12"/>
        <color rgb="FFFF0000"/>
        <rFont val="Seigo UI"/>
        <family val="2"/>
      </rPr>
      <t>I did not notice that there have the leakage in design documentation</t>
    </r>
  </si>
  <si>
    <t xml:space="preserve">1C </t>
    <phoneticPr fontId="2"/>
  </si>
  <si>
    <r>
      <rPr>
        <sz val="12"/>
        <color rgb="FF000000"/>
        <rFont val="Seigo UI"/>
      </rPr>
      <t xml:space="preserve">不明確(曖昧)
</t>
    </r>
    <r>
      <rPr>
        <sz val="12"/>
        <color rgb="FFFF0000"/>
        <rFont val="Seigo UI"/>
      </rPr>
      <t>Un Clear</t>
    </r>
  </si>
  <si>
    <t>　①技術者の常識の類として省略した
　②具体的に説明されていない</t>
  </si>
  <si>
    <t>1D</t>
    <phoneticPr fontId="2"/>
  </si>
  <si>
    <r>
      <t xml:space="preserve">標準違反
</t>
    </r>
    <r>
      <rPr>
        <sz val="12"/>
        <color rgb="FFFF0000"/>
        <rFont val="Seigo UI"/>
        <family val="2"/>
      </rPr>
      <t>Standard Violation</t>
    </r>
  </si>
  <si>
    <r>
      <t xml:space="preserve">プロジェクトで規定した設計標準等に従っていない（記述レベルが不統一）
</t>
    </r>
    <r>
      <rPr>
        <sz val="12"/>
        <color rgb="FFFF0000"/>
        <rFont val="Seigo UI"/>
        <family val="2"/>
      </rPr>
      <t>It does not follow the design standards, such as those specified in project</t>
    </r>
  </si>
  <si>
    <t xml:space="preserve">1E </t>
    <phoneticPr fontId="2"/>
  </si>
  <si>
    <r>
      <t xml:space="preserve">ドキュメント修正漏れ
</t>
    </r>
    <r>
      <rPr>
        <sz val="12"/>
        <color rgb="FFFF0000"/>
        <rFont val="Seigo UI"/>
        <family val="2"/>
      </rPr>
      <t>Leakage in correction of document</t>
    </r>
  </si>
  <si>
    <t>設計変更等があったにもかかわらず修正されていなかった
（誤ったドキュメントに基づいてプログラムを作成した場合で、プログラム及びドキュメントの両方の修正を伴う）</t>
  </si>
  <si>
    <t>1F</t>
    <phoneticPr fontId="2"/>
  </si>
  <si>
    <r>
      <rPr>
        <sz val="12"/>
        <color rgb="FF000000"/>
        <rFont val="Seigo UI"/>
      </rPr>
      <t xml:space="preserve">ドキュメント間不整合
</t>
    </r>
    <r>
      <rPr>
        <sz val="12"/>
        <color rgb="FFFF0000"/>
        <rFont val="Seigo UI"/>
      </rPr>
      <t>Mismatch between document</t>
    </r>
  </si>
  <si>
    <t>仕様書の説明内容（同一データ項目等）が統一されていない
（誤ったドキュメントに基づいてプログラムを作成した場合で、プログラム及びドキュメントの両方の修正を伴う）</t>
    <phoneticPr fontId="2"/>
  </si>
  <si>
    <t>1G</t>
    <phoneticPr fontId="2"/>
  </si>
  <si>
    <r>
      <t xml:space="preserve">その他
</t>
    </r>
    <r>
      <rPr>
        <sz val="12"/>
        <color rgb="FFFF0000"/>
        <rFont val="Seigo UI"/>
        <family val="2"/>
      </rPr>
      <t>Other</t>
    </r>
  </si>
  <si>
    <t>上記以外のバグ原因。原則使用しない。</t>
    <rPh sb="10" eb="12">
      <t>ゲンソク</t>
    </rPh>
    <rPh sb="12" eb="14">
      <t>シヨウ</t>
    </rPh>
    <phoneticPr fontId="2"/>
  </si>
  <si>
    <r>
      <t xml:space="preserve">バグ原因：
仕様からの展開の問題
</t>
    </r>
    <r>
      <rPr>
        <sz val="12"/>
        <color rgb="FFFF0000"/>
        <rFont val="Seigo UI"/>
        <family val="2"/>
      </rPr>
      <t>Cause of Bug:
Deployment Problem from specification</t>
    </r>
  </si>
  <si>
    <t>製造工程のプロセスに問題がないかの確認</t>
  </si>
  <si>
    <t>2A</t>
    <phoneticPr fontId="2"/>
  </si>
  <si>
    <r>
      <t xml:space="preserve">仕様の見落とし
</t>
    </r>
    <r>
      <rPr>
        <sz val="12"/>
        <color rgb="FFFF0000"/>
        <rFont val="Seigo UI"/>
        <family val="2"/>
      </rPr>
      <t>Oversight of Specification</t>
    </r>
  </si>
  <si>
    <r>
      <t xml:space="preserve">仕様には記述してあったが製造時点で見落とした
</t>
    </r>
    <r>
      <rPr>
        <sz val="12"/>
        <color rgb="FFFF0000"/>
        <rFont val="Seigo UI"/>
        <family val="2"/>
      </rPr>
      <t>It had described in the specification, but I was overlooked in the time of coding (manufacture)</t>
    </r>
  </si>
  <si>
    <t>2B</t>
    <phoneticPr fontId="2"/>
  </si>
  <si>
    <r>
      <t xml:space="preserve">仕様の認識誤り
</t>
    </r>
    <r>
      <rPr>
        <sz val="12"/>
        <color rgb="FFFF0000"/>
        <rFont val="Seigo UI"/>
        <family val="2"/>
      </rPr>
      <t>Insufficient understanding of specifications
(Lack of understanding in specification)</t>
    </r>
  </si>
  <si>
    <r>
      <t xml:space="preserve">業務知識が足りなかったため仕様を理解できなかった
</t>
    </r>
    <r>
      <rPr>
        <sz val="12"/>
        <color rgb="FFFF0000"/>
        <rFont val="Seigo UI"/>
        <family val="2"/>
      </rPr>
      <t>I could not understand the specifications</t>
    </r>
  </si>
  <si>
    <t>2C</t>
  </si>
  <si>
    <r>
      <t xml:space="preserve">仕様からの展開における検討不足
</t>
    </r>
    <r>
      <rPr>
        <sz val="12"/>
        <color rgb="FFFF0000"/>
        <rFont val="Seigo UI"/>
        <family val="2"/>
      </rPr>
      <t>Leakage of studying in specification</t>
    </r>
  </si>
  <si>
    <t>要求仕様から製造、試験へと展開していく過程での検討がもれていた、もしくは粗かった（想定しなかった等）</t>
  </si>
  <si>
    <t>2D</t>
  </si>
  <si>
    <r>
      <t xml:space="preserve">バグ原因：
仕様関連以外の問題点
</t>
    </r>
    <r>
      <rPr>
        <sz val="12"/>
        <color rgb="FFFF0000"/>
        <rFont val="Seigo UI"/>
        <family val="2"/>
      </rPr>
      <t>Cause of Bug:
Except the specification other related problem</t>
    </r>
  </si>
  <si>
    <t>製造工程のプロセスに問題がないかの確認</t>
    <rPh sb="0" eb="2">
      <t>セイゾウ</t>
    </rPh>
    <rPh sb="2" eb="4">
      <t>コウテイ</t>
    </rPh>
    <rPh sb="10" eb="12">
      <t>モンダイ</t>
    </rPh>
    <rPh sb="17" eb="19">
      <t>カクニン</t>
    </rPh>
    <phoneticPr fontId="2"/>
  </si>
  <si>
    <t xml:space="preserve">3A </t>
  </si>
  <si>
    <r>
      <rPr>
        <sz val="12"/>
        <color rgb="FF000000"/>
        <rFont val="Seigo UI"/>
      </rPr>
      <t xml:space="preserve">言語用法の知識不足
</t>
    </r>
    <r>
      <rPr>
        <sz val="12"/>
        <color rgb="FFFF0000"/>
        <rFont val="Seigo UI"/>
      </rPr>
      <t>Lack of knowledge in language usage</t>
    </r>
  </si>
  <si>
    <r>
      <t xml:space="preserve">使用言語の理解不足による誤り
</t>
    </r>
    <r>
      <rPr>
        <sz val="12"/>
        <color rgb="FFFF0000"/>
        <rFont val="Seigo UI"/>
        <family val="2"/>
      </rPr>
      <t>Not enough to understand the used language</t>
    </r>
  </si>
  <si>
    <t xml:space="preserve">3B </t>
  </si>
  <si>
    <t>周知連絡の不徹底</t>
  </si>
  <si>
    <t>仕様変更等に伴う周知不備、作業標準の周知不備</t>
  </si>
  <si>
    <t xml:space="preserve">3C </t>
    <phoneticPr fontId="1"/>
  </si>
  <si>
    <t>標準違反</t>
    <phoneticPr fontId="2"/>
  </si>
  <si>
    <t>標準化に従っていない、又は標準化を確認していない（コーディング規約等）</t>
    <phoneticPr fontId="2"/>
  </si>
  <si>
    <t>3D</t>
  </si>
  <si>
    <r>
      <t xml:space="preserve">再利用時のチェックもれ
</t>
    </r>
    <r>
      <rPr>
        <sz val="12"/>
        <color rgb="FFFF0000"/>
        <rFont val="Seigo UI"/>
        <family val="2"/>
      </rPr>
      <t>Leakage in checking of re-using time</t>
    </r>
  </si>
  <si>
    <t>再利用時の確認を怠った</t>
    <phoneticPr fontId="2"/>
  </si>
  <si>
    <t xml:space="preserve">3E </t>
  </si>
  <si>
    <r>
      <t xml:space="preserve">修正時のチェックもれ
</t>
    </r>
    <r>
      <rPr>
        <sz val="12"/>
        <color rgb="FFFF0000"/>
        <rFont val="Seigo UI"/>
        <family val="2"/>
      </rPr>
      <t>Leakage in checking of correction time</t>
    </r>
  </si>
  <si>
    <t>修正時の確認を怠った</t>
    <phoneticPr fontId="2"/>
  </si>
  <si>
    <t>3F</t>
  </si>
  <si>
    <r>
      <t xml:space="preserve">単なる凡ミス
</t>
    </r>
    <r>
      <rPr>
        <sz val="12"/>
        <color rgb="FFFF0000"/>
        <rFont val="Seigo UI"/>
        <family val="2"/>
      </rPr>
      <t>Simple Mistake</t>
    </r>
  </si>
  <si>
    <r>
      <t>単純なヒューマンエラー。</t>
    </r>
    <r>
      <rPr>
        <sz val="12"/>
        <color indexed="10"/>
        <rFont val="Seigo UI"/>
        <family val="2"/>
      </rPr>
      <t>原則使用しない。
※自分が「A」が正しいと思っていて、Aとしたつもりだったが、誤ってBとしてしまいエラーになった、等。
Simple Human Error.
He thought 'A' is correct but he wrote 'B'. He thought that he was written 'A'</t>
    </r>
  </si>
  <si>
    <t>3G</t>
  </si>
  <si>
    <t>４</t>
  </si>
  <si>
    <r>
      <t xml:space="preserve">その他の要因
</t>
    </r>
    <r>
      <rPr>
        <sz val="12"/>
        <color rgb="FFFF0000"/>
        <rFont val="Seigo UI"/>
        <family val="2"/>
      </rPr>
      <t>Other cause</t>
    </r>
  </si>
  <si>
    <t xml:space="preserve">4A </t>
  </si>
  <si>
    <r>
      <t xml:space="preserve">誤操作
</t>
    </r>
    <r>
      <rPr>
        <sz val="12"/>
        <color rgb="FFFF0000"/>
        <rFont val="Seigo UI"/>
        <family val="2"/>
      </rPr>
      <t>Operation Leakage</t>
    </r>
  </si>
  <si>
    <r>
      <t xml:space="preserve">試験手順の間違いによる場合に選択。
</t>
    </r>
    <r>
      <rPr>
        <sz val="12"/>
        <color rgb="FFFF0000"/>
        <rFont val="Seigo UI"/>
        <family val="2"/>
      </rPr>
      <t>Select when item procedure was wrong</t>
    </r>
  </si>
  <si>
    <t xml:space="preserve">4B </t>
  </si>
  <si>
    <r>
      <t xml:space="preserve">再現せず
</t>
    </r>
    <r>
      <rPr>
        <sz val="12"/>
        <color rgb="FFFF0000"/>
        <rFont val="Seigo UI"/>
        <family val="2"/>
      </rPr>
      <t>Not Happening</t>
    </r>
  </si>
  <si>
    <r>
      <t xml:space="preserve">情報不足による原因不明のため、何度試しても再現しない場合に選択。
</t>
    </r>
    <r>
      <rPr>
        <sz val="12"/>
        <color rgb="FFFF0000"/>
        <rFont val="Seigo UI"/>
        <family val="2"/>
      </rPr>
      <t>Select when it is not happening what times you try because of unclear cause by lacking the information</t>
    </r>
  </si>
  <si>
    <t xml:space="preserve">4C </t>
  </si>
  <si>
    <r>
      <t xml:space="preserve">指摘ミス
</t>
    </r>
    <r>
      <rPr>
        <sz val="12"/>
        <color rgb="FFFF0000"/>
        <rFont val="Seigo UI"/>
        <family val="2"/>
      </rPr>
      <t>Point out Mistake</t>
    </r>
  </si>
  <si>
    <r>
      <t xml:space="preserve">試験実施者の勘違いによる場合に選択。
</t>
    </r>
    <r>
      <rPr>
        <sz val="12"/>
        <color rgb="FFFF0000"/>
        <rFont val="Seigo UI"/>
        <family val="2"/>
      </rPr>
      <t>Select when you guess wrong or misunderstanding according to the point out.</t>
    </r>
  </si>
  <si>
    <t>4D</t>
  </si>
  <si>
    <r>
      <t xml:space="preserve">重複
</t>
    </r>
    <r>
      <rPr>
        <sz val="12"/>
        <color rgb="FFFF0000"/>
        <rFont val="Seigo UI"/>
        <family val="2"/>
      </rPr>
      <t>Repetition</t>
    </r>
  </si>
  <si>
    <r>
      <t xml:space="preserve">回答する前に既に全く同じバグが起票された場合に選択。
</t>
    </r>
    <r>
      <rPr>
        <sz val="12"/>
        <color rgb="FFFF0000"/>
        <rFont val="Seigo UI"/>
        <family val="2"/>
      </rPr>
      <t>Select when this bug is already existed in Bug List before answering</t>
    </r>
  </si>
  <si>
    <t xml:space="preserve">4E </t>
  </si>
  <si>
    <r>
      <t xml:space="preserve">ドキュメント不良
</t>
    </r>
    <r>
      <rPr>
        <sz val="12"/>
        <color rgb="FFFF0000"/>
        <rFont val="Seigo UI"/>
        <family val="2"/>
      </rPr>
      <t>Document Failure</t>
    </r>
  </si>
  <si>
    <r>
      <t xml:space="preserve">設計書が誤っているだけであり、プログラムは間違っていない（修正が発生しない）場合に選択。
</t>
    </r>
    <r>
      <rPr>
        <sz val="12"/>
        <color rgb="FFFF0000"/>
        <rFont val="Seigo UI"/>
        <family val="2"/>
      </rPr>
      <t>Select when design documentation is wrong but program is correct (No need to do correction in program)</t>
    </r>
  </si>
  <si>
    <t>4F</t>
  </si>
  <si>
    <r>
      <t xml:space="preserve">潜在バグ（旧バージョン）
</t>
    </r>
    <r>
      <rPr>
        <sz val="12"/>
        <color rgb="FFFF0000"/>
        <rFont val="Seigo UI"/>
        <family val="2"/>
      </rPr>
      <t>Bug of old version</t>
    </r>
  </si>
  <si>
    <t>旧バージョンを再利用した結果、再利用元の不具合により発生した場合に選択。</t>
    <phoneticPr fontId="2"/>
  </si>
  <si>
    <t>4G</t>
  </si>
  <si>
    <r>
      <t xml:space="preserve">パッケージ、ツール
</t>
    </r>
    <r>
      <rPr>
        <sz val="12"/>
        <color rgb="FFFF0000"/>
        <rFont val="Seigo UI"/>
        <family val="2"/>
      </rPr>
      <t>Package, Tool</t>
    </r>
  </si>
  <si>
    <r>
      <t xml:space="preserve">自前で開発したプログラムでなく、パッケージソフトなどの不具合による場合に選択。
</t>
    </r>
    <r>
      <rPr>
        <sz val="12"/>
        <color rgb="FFFF0000"/>
        <rFont val="Seigo UI"/>
        <family val="2"/>
      </rPr>
      <t>Select when you use the packaged software (not developed own program)</t>
    </r>
  </si>
  <si>
    <t>4H</t>
  </si>
  <si>
    <t>上記のどれにもあてはまらない場合に選択。原則として選択しない。</t>
    <phoneticPr fontId="2"/>
  </si>
  <si>
    <t>タイトル</t>
  </si>
  <si>
    <t>M工程機能名</t>
  </si>
  <si>
    <t>Function_name(Register,Update,Delete,etc…)</t>
  </si>
  <si>
    <t>UT工程クラス名</t>
  </si>
  <si>
    <t>xxxServiceImpl.java</t>
  </si>
  <si>
    <t>Types of Work Items</t>
  </si>
  <si>
    <t>Phase(Process)</t>
  </si>
  <si>
    <t>DD_Create</t>
  </si>
  <si>
    <t>DD_Rv</t>
  </si>
  <si>
    <t>UT_Item Create</t>
  </si>
  <si>
    <t>UT_Item Create_Rv</t>
  </si>
  <si>
    <t>Status</t>
  </si>
  <si>
    <t>Bug Cause：Incomplete Specification</t>
  </si>
  <si>
    <t>1A: No Description</t>
  </si>
  <si>
    <t>1B: Leakage of Description</t>
  </si>
  <si>
    <t>1C: Un Clear</t>
  </si>
  <si>
    <t>1D: Standard Violation</t>
  </si>
  <si>
    <t>1E: Leakage in correction of document</t>
  </si>
  <si>
    <t>1F: Mismatch between document</t>
  </si>
  <si>
    <t>1G: Other</t>
  </si>
  <si>
    <t>Bug cause: Deployment issue from spec</t>
  </si>
  <si>
    <t>2A: Oversight of Specification</t>
  </si>
  <si>
    <t>2B: Insufficient understanding of specifications</t>
  </si>
  <si>
    <t>2C: Leakage of studying in specification</t>
  </si>
  <si>
    <t>2D: Other</t>
  </si>
  <si>
    <t>Bug cause: Other issues</t>
  </si>
  <si>
    <t>3A: Lack of knowledge in language usage</t>
  </si>
  <si>
    <t>3B :Insufficient communication</t>
  </si>
  <si>
    <t>3C: Standard Violation</t>
  </si>
  <si>
    <t>3D: Leakage in checking of re-using time</t>
  </si>
  <si>
    <t>3E: Leakage in checking of correction time</t>
  </si>
  <si>
    <t>3F: Simple Mistake</t>
  </si>
  <si>
    <t>3G: Other</t>
  </si>
  <si>
    <t>Error Type：DD</t>
  </si>
  <si>
    <t>D1：設計記載誤り</t>
  </si>
  <si>
    <t>D2：設計理解誤り</t>
  </si>
  <si>
    <t>D3：設計確認誤り</t>
  </si>
  <si>
    <t>D4：設計に日本語理解度不足</t>
  </si>
  <si>
    <t>Error type: M</t>
  </si>
  <si>
    <t>M1: Interface Error</t>
  </si>
  <si>
    <t>Interface Error</t>
  </si>
  <si>
    <t>M2: Logical error</t>
  </si>
  <si>
    <t>Logical error</t>
  </si>
  <si>
    <t>M3: Data Defination error</t>
  </si>
  <si>
    <t>Data Defination error</t>
  </si>
  <si>
    <t>M4: Table Defination error</t>
  </si>
  <si>
    <t>Table Defination error</t>
  </si>
  <si>
    <t>M5: Format error</t>
  </si>
  <si>
    <t>Format error</t>
  </si>
  <si>
    <t>Error type: UT Implement</t>
  </si>
  <si>
    <t>UT1: Test Design Specification Extraction Omission</t>
  </si>
  <si>
    <t>Test Design Specification Extraction Omission</t>
  </si>
  <si>
    <t>UT2: Omission of Test itself</t>
  </si>
  <si>
    <t>Omission of Test itself</t>
  </si>
  <si>
    <t>UT3: Result Confirmation Mistake</t>
  </si>
  <si>
    <t>Result Confirmation Mistake</t>
  </si>
  <si>
    <t>UT4: Environment Problem</t>
  </si>
  <si>
    <t>Environment Problem</t>
  </si>
  <si>
    <t>Title</t>
  </si>
  <si>
    <t>初期表示状態</t>
  </si>
  <si>
    <t>ローディング状態</t>
  </si>
  <si>
    <t>成功状態</t>
  </si>
  <si>
    <t>データ取扱い</t>
  </si>
  <si>
    <t xml:space="preserve"> ユーザー操作</t>
  </si>
  <si>
    <t>システム連携・環境</t>
  </si>
  <si>
    <t>再利用性</t>
  </si>
  <si>
    <t>メソッド名</t>
  </si>
  <si>
    <t>Method Name・チェックポイント</t>
  </si>
  <si>
    <t>Tun Tun Lin</t>
  </si>
  <si>
    <t>Kyaw Mg Mg Lwin</t>
  </si>
  <si>
    <t>画面上のラベル・文言・メッセージ（成功／失敗）が設計どおり</t>
  </si>
  <si>
    <t>極端な値（0、最大・最小、長文、空配列、空文字）でロジック破綻しない</t>
  </si>
  <si>
    <t>Implement robust input validation and UI safeguards to ensure the application does not break when API responses contain:
!)Extreme numeric values (very large/small, negative, or out-of-range),
2)Long or unbounded text (labels, descriptions, dynamic content),
3)Special characters (Unicode, emojis, HTML entities, escape sequences).</t>
  </si>
  <si>
    <t>コンソールエラーが出ない／デッドコードが残っていない</t>
  </si>
  <si>
    <t>EMS‑SW02_施設編集画面</t>
  </si>
  <si>
    <t>Print statements are required for testing and validation during development.These lines are for internal testing purposes only and will be removed before the application is released to ensure production code is clean.</t>
  </si>
  <si>
    <t>Strong input validation and UI safeguards have been implemented to handle extremely large numeric values, long/unlimited text, and special characters (including Unicode and emoji).</t>
  </si>
  <si>
    <t>d4f78e8</t>
  </si>
  <si>
    <t>実装内部レビュー</t>
  </si>
  <si>
    <t>ENMN_CTL／管理画面</t>
  </si>
  <si>
    <t>No.</t>
  </si>
  <si>
    <t>Source Images</t>
  </si>
  <si>
    <t>Detail Comment</t>
  </si>
  <si>
    <t xml:space="preserve">Minor UI deviations were found in button placement and font sizes. All deifnition issued items have been updated to match the approved design standards.
 </t>
  </si>
  <si>
    <t>可読性／一貫性（API契約／レスポンススキーマの一貫性）</t>
  </si>
  <si>
    <t>全体として、Screen Design Documents および UI Guideline と照合した際、ボタン配置、ボタンラベルのフォントサイズ、画面ラベルのフォントサイズに関する軽微な UI の不整合が確認されました</t>
  </si>
  <si>
    <t>アプリケーションが API レスポンスに以下の内容を含む場合でも破損しないよう、堅牢な input validation および UI 側の安全対策を実装してください：
極端な数値（非常に大きい／小さい値、負の値、範囲外の値 など）
長文または制限のないテキスト（labels、descriptions、動的コンテンツ など）
特殊文字（Unicode、emojis、HTML entities、escape sequences など）</t>
  </si>
  <si>
    <t>コード内にまだ print() や log のデバッグ行が残っています。production console をクリーンに保ち、内部データが出力されないよう、それらを削除してください。</t>
  </si>
  <si>
    <r>
      <t>API endpoint を直接呼び出すのではなく、</t>
    </r>
    <r>
      <rPr>
        <sz val="10"/>
        <color theme="1"/>
        <rFont val="Arial Unicode MS"/>
      </rPr>
      <t>.env</t>
    </r>
    <r>
      <rPr>
        <sz val="7"/>
        <color theme="1"/>
        <rFont val="Segoe UI"/>
        <family val="2"/>
      </rPr>
      <t xml:space="preserve"> ファイルに endpoint を定義し、そこから変数として利用する方針とします</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</si>
</sst>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font>
      <sz val="11"/>
      <color theme="1"/>
      <name val="Calibri"/>
      <family val="2"/>
      <scheme val="minor"/>
    </font>
    <font>
      <sz val="11"/>
      <color theme="1"/>
      <name val="Calibri"/>
      <family val="3"/>
      <charset val="128"/>
      <scheme val="minor"/>
    </font>
    <font>
      <sz val="14"/>
      <color theme="1"/>
      <name val="Meiryo UI"/>
      <family val="2"/>
    </font>
    <font>
      <sz val="10"/>
      <color theme="1"/>
      <name val="Meiryo UI"/>
      <family val="2"/>
    </font>
    <font>
      <sz val="10"/>
      <color rgb="FFFF0000"/>
      <name val="Meiryo UI"/>
      <family val="2"/>
    </font>
    <font>
      <sz val="11"/>
      <name val="Meiryo UI"/>
      <family val="2"/>
    </font>
    <font>
      <b/>
      <sz val="11"/>
      <color theme="1"/>
      <name val="Calibri"/>
      <family val="2"/>
      <scheme val="minor"/>
    </font>
    <font>
      <sz val="11"/>
      <name val="ＭＳ Ｐゴシック"/>
      <family val="3"/>
      <charset val="128"/>
    </font>
    <font>
      <b/>
      <sz val="12"/>
      <name val="Seigo UI"/>
    </font>
    <font>
      <sz val="12"/>
      <name val="Seigo UI"/>
      <family val="2"/>
    </font>
    <font>
      <sz val="12"/>
      <color theme="1"/>
      <name val="Seigo UI"/>
      <family val="2"/>
    </font>
    <font>
      <sz val="12"/>
      <color theme="1"/>
      <name val="Seigo UI"/>
    </font>
    <font>
      <b/>
      <sz val="12"/>
      <color theme="1"/>
      <name val="Seigo UI"/>
    </font>
    <font>
      <sz val="12"/>
      <name val="Seigo UI"/>
    </font>
    <font>
      <b/>
      <sz val="12"/>
      <color theme="1"/>
      <name val="Seigo UI"/>
      <family val="2"/>
    </font>
    <font>
      <sz val="12"/>
      <color rgb="FF000000"/>
      <name val="Seigo UI"/>
    </font>
    <font>
      <b/>
      <sz val="12"/>
      <color indexed="8"/>
      <name val="Seigo UI"/>
      <family val="2"/>
    </font>
    <font>
      <sz val="12"/>
      <color indexed="8"/>
      <name val="Seigo UI"/>
      <family val="2"/>
    </font>
    <font>
      <sz val="12"/>
      <color rgb="FFFF0000"/>
      <name val="Seigo UI"/>
      <family val="2"/>
    </font>
    <font>
      <sz val="12"/>
      <color indexed="8"/>
      <name val="Seigo UI"/>
    </font>
    <font>
      <sz val="12"/>
      <color rgb="FFFF0000"/>
      <name val="Seigo UI"/>
    </font>
    <font>
      <sz val="12"/>
      <color indexed="10"/>
      <name val="Seigo UI"/>
      <family val="2"/>
    </font>
    <font>
      <sz val="12"/>
      <color theme="1"/>
      <name val="Seigo UI"/>
      <charset val="128"/>
    </font>
    <font>
      <sz val="12"/>
      <name val="Seigo UI"/>
      <charset val="128"/>
    </font>
    <font>
      <b/>
      <sz val="12"/>
      <color theme="1"/>
      <name val="Seigo UI"/>
      <charset val="128"/>
    </font>
    <font>
      <sz val="12"/>
      <color rgb="FFFF0000"/>
      <name val="Seigo UI"/>
      <charset val="128"/>
    </font>
    <font>
      <b/>
      <sz val="9"/>
      <color indexed="81"/>
      <name val="Tahoma"/>
      <family val="2"/>
    </font>
    <font>
      <sz val="7"/>
      <color theme="1"/>
      <name val="Segoe UI"/>
      <family val="2"/>
    </font>
    <font>
      <sz val="12"/>
      <color theme="1"/>
      <name val="Segoe UI"/>
      <family val="2"/>
    </font>
    <font>
      <sz val="10"/>
      <color theme="1"/>
      <name val="Arial Unicode MS"/>
    </font>
  </fonts>
  <fills count="10">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indexed="9"/>
        <bgColor indexed="64"/>
      </patternFill>
    </fill>
    <fill>
      <patternFill patternType="solid">
        <fgColor indexed="27"/>
        <bgColor indexed="64"/>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s>
  <cellStyleXfs count="6">
    <xf numFmtId="0" fontId="0" fillId="0" borderId="0"/>
    <xf numFmtId="0" fontId="1" fillId="0" borderId="0"/>
    <xf numFmtId="0" fontId="7" fillId="0" borderId="0"/>
    <xf numFmtId="0" fontId="7" fillId="0" borderId="0">
      <alignment vertical="center"/>
    </xf>
    <xf numFmtId="0" fontId="7" fillId="0" borderId="0">
      <alignment vertical="center"/>
    </xf>
    <xf numFmtId="0" fontId="7" fillId="0" borderId="0"/>
  </cellStyleXfs>
  <cellXfs count="146">
    <xf numFmtId="0" fontId="0" fillId="0" borderId="0" xfId="0"/>
    <xf numFmtId="0" fontId="3" fillId="0" borderId="1" xfId="0" applyFont="1" applyBorder="1" applyAlignment="1">
      <alignment horizontal="left" vertical="top" wrapText="1"/>
    </xf>
    <xf numFmtId="0" fontId="5" fillId="3" borderId="1" xfId="0" applyFont="1" applyFill="1" applyBorder="1" applyAlignment="1">
      <alignment horizontal="center" vertical="center" wrapText="1"/>
    </xf>
    <xf numFmtId="0" fontId="4" fillId="0" borderId="1" xfId="0" applyFont="1" applyBorder="1" applyAlignment="1">
      <alignment horizontal="left" vertical="top"/>
    </xf>
    <xf numFmtId="0" fontId="3" fillId="0" borderId="0" xfId="0" applyFont="1" applyAlignment="1">
      <alignment horizontal="left" vertical="top" wrapText="1"/>
    </xf>
    <xf numFmtId="14" fontId="3" fillId="0" borderId="1" xfId="0" applyNumberFormat="1" applyFont="1" applyBorder="1" applyAlignment="1">
      <alignment horizontal="left" vertical="top"/>
    </xf>
    <xf numFmtId="0" fontId="3" fillId="0" borderId="2" xfId="0" applyFont="1" applyBorder="1" applyAlignment="1">
      <alignment vertical="top" wrapText="1"/>
    </xf>
    <xf numFmtId="0" fontId="3" fillId="0" borderId="4" xfId="0" applyFont="1" applyBorder="1" applyAlignment="1">
      <alignment vertical="top" wrapText="1"/>
    </xf>
    <xf numFmtId="0" fontId="6" fillId="0" borderId="0" xfId="0" applyFont="1"/>
    <xf numFmtId="0" fontId="10" fillId="0" borderId="0" xfId="0" applyFont="1"/>
    <xf numFmtId="0" fontId="11" fillId="0" borderId="0" xfId="0" applyFont="1"/>
    <xf numFmtId="0" fontId="12" fillId="5" borderId="1" xfId="0" applyFont="1" applyFill="1" applyBorder="1"/>
    <xf numFmtId="0" fontId="12" fillId="5" borderId="0" xfId="0" applyFont="1" applyFill="1"/>
    <xf numFmtId="0" fontId="13" fillId="0" borderId="13" xfId="0" applyFont="1" applyBorder="1" applyAlignment="1">
      <alignment vertical="center"/>
    </xf>
    <xf numFmtId="0" fontId="13" fillId="0" borderId="14" xfId="0" applyFont="1" applyBorder="1" applyAlignment="1">
      <alignment vertical="center"/>
    </xf>
    <xf numFmtId="0" fontId="11" fillId="0" borderId="15" xfId="0" applyFont="1" applyBorder="1"/>
    <xf numFmtId="0" fontId="11" fillId="0" borderId="13" xfId="0" applyFont="1" applyBorder="1"/>
    <xf numFmtId="0" fontId="11" fillId="0" borderId="2" xfId="0" applyFont="1" applyBorder="1"/>
    <xf numFmtId="0" fontId="13" fillId="0" borderId="16" xfId="0" applyFont="1" applyBorder="1" applyAlignment="1">
      <alignment vertical="center"/>
    </xf>
    <xf numFmtId="0" fontId="13" fillId="0" borderId="17" xfId="0" applyFont="1" applyBorder="1" applyAlignment="1">
      <alignment vertical="center"/>
    </xf>
    <xf numFmtId="0" fontId="11" fillId="0" borderId="18" xfId="0" applyFont="1" applyBorder="1"/>
    <xf numFmtId="0" fontId="11" fillId="0" borderId="16" xfId="0" applyFont="1" applyBorder="1"/>
    <xf numFmtId="0" fontId="13" fillId="0" borderId="19" xfId="0" applyFont="1" applyBorder="1" applyAlignment="1">
      <alignment vertical="center"/>
    </xf>
    <xf numFmtId="0" fontId="13" fillId="0" borderId="7" xfId="0" applyFont="1" applyBorder="1" applyAlignment="1">
      <alignment vertical="center"/>
    </xf>
    <xf numFmtId="0" fontId="13" fillId="0" borderId="20" xfId="0" applyFont="1" applyBorder="1" applyAlignment="1">
      <alignment vertical="center"/>
    </xf>
    <xf numFmtId="0" fontId="13" fillId="0" borderId="21" xfId="0" applyFont="1" applyBorder="1" applyAlignment="1">
      <alignment vertical="center"/>
    </xf>
    <xf numFmtId="0" fontId="13" fillId="0" borderId="22" xfId="0" applyFont="1" applyBorder="1" applyAlignment="1">
      <alignment vertical="center"/>
    </xf>
    <xf numFmtId="0" fontId="13" fillId="0" borderId="23" xfId="0" applyFont="1" applyBorder="1" applyAlignment="1">
      <alignment vertical="center"/>
    </xf>
    <xf numFmtId="0" fontId="11" fillId="0" borderId="24" xfId="0" applyFont="1" applyBorder="1" applyAlignment="1">
      <alignment vertical="center"/>
    </xf>
    <xf numFmtId="0" fontId="11" fillId="0" borderId="1" xfId="0" applyFont="1" applyBorder="1"/>
    <xf numFmtId="0" fontId="11" fillId="0" borderId="4" xfId="0" applyFont="1" applyBorder="1"/>
    <xf numFmtId="0" fontId="11" fillId="0" borderId="4" xfId="0" applyFont="1" applyBorder="1" applyAlignment="1">
      <alignment vertical="center"/>
    </xf>
    <xf numFmtId="0" fontId="11" fillId="0" borderId="25" xfId="0" applyFont="1" applyBorder="1"/>
    <xf numFmtId="0" fontId="11" fillId="0" borderId="1" xfId="0" applyFont="1" applyBorder="1" applyAlignment="1">
      <alignment vertical="center"/>
    </xf>
    <xf numFmtId="0" fontId="11" fillId="0" borderId="26" xfId="0" applyFont="1" applyBorder="1"/>
    <xf numFmtId="0" fontId="11" fillId="2" borderId="0" xfId="0" applyFont="1" applyFill="1"/>
    <xf numFmtId="0" fontId="16" fillId="7" borderId="0" xfId="5" applyFont="1" applyFill="1" applyAlignment="1">
      <alignment vertical="center"/>
    </xf>
    <xf numFmtId="0" fontId="17" fillId="7" borderId="0" xfId="5" applyFont="1" applyFill="1" applyAlignment="1">
      <alignment vertical="center"/>
    </xf>
    <xf numFmtId="0" fontId="17" fillId="7" borderId="0" xfId="5" applyFont="1" applyFill="1" applyAlignment="1">
      <alignment vertical="center" wrapText="1"/>
    </xf>
    <xf numFmtId="0" fontId="9" fillId="0" borderId="0" xfId="5" applyFont="1"/>
    <xf numFmtId="0" fontId="17" fillId="7" borderId="0" xfId="5" applyFont="1" applyFill="1" applyAlignment="1">
      <alignment horizontal="left" vertical="center"/>
    </xf>
    <xf numFmtId="0" fontId="16" fillId="7" borderId="0" xfId="5" applyFont="1" applyFill="1" applyAlignment="1">
      <alignment horizontal="left" vertical="center"/>
    </xf>
    <xf numFmtId="0" fontId="16" fillId="8" borderId="1" xfId="5" applyFont="1" applyFill="1" applyBorder="1" applyAlignment="1">
      <alignment horizontal="center" vertical="top"/>
    </xf>
    <xf numFmtId="0" fontId="16" fillId="8" borderId="1" xfId="5" applyFont="1" applyFill="1" applyBorder="1" applyAlignment="1">
      <alignment horizontal="center" vertical="center"/>
    </xf>
    <xf numFmtId="0" fontId="16" fillId="8" borderId="1" xfId="5" applyFont="1" applyFill="1" applyBorder="1" applyAlignment="1">
      <alignment horizontal="center" vertical="center" wrapText="1"/>
    </xf>
    <xf numFmtId="0" fontId="17" fillId="7" borderId="1" xfId="5" applyFont="1" applyFill="1" applyBorder="1" applyAlignment="1">
      <alignment horizontal="center" vertical="center"/>
    </xf>
    <xf numFmtId="0" fontId="17" fillId="7" borderId="1" xfId="5" applyFont="1" applyFill="1" applyBorder="1" applyAlignment="1">
      <alignment horizontal="left" vertical="center" wrapText="1"/>
    </xf>
    <xf numFmtId="0" fontId="17" fillId="7" borderId="1" xfId="5" applyFont="1" applyFill="1" applyBorder="1" applyAlignment="1">
      <alignment vertical="center" wrapText="1"/>
    </xf>
    <xf numFmtId="0" fontId="19" fillId="7" borderId="1" xfId="5" applyFont="1" applyFill="1" applyBorder="1" applyAlignment="1">
      <alignment horizontal="left" vertical="center" wrapText="1"/>
    </xf>
    <xf numFmtId="0" fontId="19" fillId="7" borderId="1" xfId="5" applyFont="1" applyFill="1" applyBorder="1" applyAlignment="1">
      <alignment vertical="center" wrapText="1"/>
    </xf>
    <xf numFmtId="0" fontId="17" fillId="7" borderId="1" xfId="5" applyFont="1" applyFill="1" applyBorder="1" applyAlignment="1">
      <alignment horizontal="left" vertical="center"/>
    </xf>
    <xf numFmtId="0" fontId="14" fillId="0" borderId="0" xfId="0" applyFont="1"/>
    <xf numFmtId="0" fontId="10" fillId="0" borderId="5" xfId="0" applyFont="1" applyBorder="1"/>
    <xf numFmtId="0" fontId="10" fillId="0" borderId="6" xfId="0" applyFont="1" applyBorder="1"/>
    <xf numFmtId="0" fontId="10" fillId="0" borderId="7" xfId="0" applyFont="1" applyBorder="1"/>
    <xf numFmtId="0" fontId="10" fillId="0" borderId="8" xfId="0" applyFont="1" applyBorder="1"/>
    <xf numFmtId="0" fontId="12" fillId="0" borderId="0" xfId="0" applyFont="1"/>
    <xf numFmtId="0" fontId="10" fillId="0" borderId="9" xfId="0" applyFont="1" applyBorder="1"/>
    <xf numFmtId="0" fontId="14" fillId="0" borderId="8" xfId="0" applyFont="1" applyBorder="1"/>
    <xf numFmtId="0" fontId="11" fillId="0" borderId="0" xfId="0" applyFont="1" applyAlignment="1">
      <alignment wrapText="1"/>
    </xf>
    <xf numFmtId="0" fontId="10" fillId="0" borderId="10" xfId="0" applyFont="1" applyBorder="1"/>
    <xf numFmtId="0" fontId="10" fillId="0" borderId="12" xfId="0" applyFont="1" applyBorder="1"/>
    <xf numFmtId="0" fontId="10" fillId="0" borderId="11" xfId="0" applyFont="1" applyBorder="1"/>
    <xf numFmtId="0" fontId="22" fillId="0" borderId="0" xfId="0" applyFont="1"/>
    <xf numFmtId="0" fontId="24" fillId="2"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23" fillId="0" borderId="1" xfId="0" applyFont="1" applyBorder="1" applyAlignment="1">
      <alignment horizontal="left" vertical="center"/>
    </xf>
    <xf numFmtId="0" fontId="23" fillId="0" borderId="1" xfId="4" applyFont="1" applyBorder="1" applyAlignment="1">
      <alignment horizontal="left" vertical="center"/>
    </xf>
    <xf numFmtId="0" fontId="23" fillId="0" borderId="1" xfId="0" quotePrefix="1" applyFont="1" applyBorder="1" applyAlignment="1">
      <alignment horizontal="left" vertical="center"/>
    </xf>
    <xf numFmtId="0" fontId="23" fillId="0" borderId="1" xfId="4" applyFont="1" applyBorder="1" applyAlignment="1">
      <alignment horizontal="left" vertical="center" wrapText="1"/>
    </xf>
    <xf numFmtId="14" fontId="23" fillId="0" borderId="1" xfId="4" applyNumberFormat="1" applyFont="1" applyBorder="1" applyAlignment="1">
      <alignment horizontal="left" vertical="center" wrapText="1"/>
    </xf>
    <xf numFmtId="0" fontId="23" fillId="0" borderId="1" xfId="4" quotePrefix="1" applyFont="1" applyBorder="1" applyAlignment="1">
      <alignment horizontal="left" vertical="center"/>
    </xf>
    <xf numFmtId="0" fontId="23" fillId="0" borderId="1" xfId="4" quotePrefix="1" applyFont="1" applyBorder="1" applyAlignment="1">
      <alignment horizontal="left" vertical="center" wrapText="1"/>
    </xf>
    <xf numFmtId="0" fontId="23" fillId="0" borderId="1" xfId="0" applyFont="1" applyBorder="1" applyAlignment="1">
      <alignment horizontal="left" vertical="center" wrapText="1"/>
    </xf>
    <xf numFmtId="0" fontId="23" fillId="0" borderId="1" xfId="0" quotePrefix="1" applyFont="1" applyBorder="1" applyAlignment="1">
      <alignment horizontal="left" vertical="center" wrapText="1"/>
    </xf>
    <xf numFmtId="14" fontId="23" fillId="0" borderId="1" xfId="4" quotePrefix="1" applyNumberFormat="1" applyFont="1" applyBorder="1" applyAlignment="1">
      <alignment horizontal="left" vertical="center" wrapText="1"/>
    </xf>
    <xf numFmtId="0" fontId="22" fillId="9" borderId="0" xfId="0" applyFont="1" applyFill="1" applyAlignment="1">
      <alignment vertical="top"/>
    </xf>
    <xf numFmtId="0" fontId="25" fillId="0" borderId="1" xfId="4" applyFont="1" applyBorder="1" applyAlignment="1">
      <alignment horizontal="left" vertical="center" wrapText="1"/>
    </xf>
    <xf numFmtId="0" fontId="22" fillId="9" borderId="1" xfId="0" applyFont="1" applyFill="1" applyBorder="1" applyAlignment="1">
      <alignment vertical="top"/>
    </xf>
    <xf numFmtId="0" fontId="12" fillId="5" borderId="1" xfId="0" applyFont="1" applyFill="1" applyBorder="1" applyAlignment="1">
      <alignment wrapText="1"/>
    </xf>
    <xf numFmtId="0" fontId="13" fillId="0" borderId="14" xfId="0" applyFont="1" applyBorder="1" applyAlignment="1">
      <alignment vertical="center" wrapText="1"/>
    </xf>
    <xf numFmtId="0" fontId="13" fillId="0" borderId="17" xfId="0" applyFont="1" applyBorder="1" applyAlignment="1">
      <alignment vertical="center" wrapText="1"/>
    </xf>
    <xf numFmtId="0" fontId="13" fillId="0" borderId="21" xfId="0" applyFont="1" applyBorder="1" applyAlignment="1">
      <alignment vertical="center" wrapText="1"/>
    </xf>
    <xf numFmtId="0" fontId="11" fillId="0" borderId="1" xfId="0" applyFont="1" applyBorder="1" applyAlignment="1">
      <alignment wrapText="1"/>
    </xf>
    <xf numFmtId="0" fontId="22" fillId="0" borderId="0" xfId="0" applyFont="1" applyAlignment="1">
      <alignment wrapText="1"/>
    </xf>
    <xf numFmtId="0" fontId="25" fillId="0" borderId="1" xfId="0" applyFont="1" applyBorder="1" applyAlignment="1">
      <alignment horizontal="left" vertical="center" wrapText="1"/>
    </xf>
    <xf numFmtId="0" fontId="23" fillId="0" borderId="1" xfId="0" applyFont="1" applyBorder="1" applyAlignment="1">
      <alignment horizontal="left" vertical="top"/>
    </xf>
    <xf numFmtId="0" fontId="23" fillId="0" borderId="1" xfId="0" applyFont="1" applyBorder="1" applyAlignment="1">
      <alignment horizontal="left" vertical="top" wrapText="1"/>
    </xf>
    <xf numFmtId="0" fontId="23" fillId="0" borderId="1" xfId="0" quotePrefix="1" applyFont="1" applyBorder="1" applyAlignment="1">
      <alignment horizontal="left" vertical="top"/>
    </xf>
    <xf numFmtId="0" fontId="23" fillId="0" borderId="1" xfId="4" applyFont="1" applyBorder="1" applyAlignment="1">
      <alignment horizontal="left" vertical="top" wrapText="1"/>
    </xf>
    <xf numFmtId="14" fontId="23" fillId="0" borderId="1" xfId="4" applyNumberFormat="1" applyFont="1" applyBorder="1" applyAlignment="1">
      <alignment horizontal="left" vertical="top" wrapText="1"/>
    </xf>
    <xf numFmtId="0" fontId="23" fillId="0" borderId="1" xfId="0" quotePrefix="1" applyFont="1" applyBorder="1" applyAlignment="1">
      <alignment horizontal="left" vertical="top" wrapText="1"/>
    </xf>
    <xf numFmtId="14" fontId="23" fillId="0" borderId="1" xfId="4" quotePrefix="1" applyNumberFormat="1" applyFont="1" applyBorder="1" applyAlignment="1">
      <alignment horizontal="left" vertical="top" wrapText="1"/>
    </xf>
    <xf numFmtId="0" fontId="3" fillId="0" borderId="2" xfId="0" applyFont="1" applyBorder="1" applyAlignment="1">
      <alignment horizontal="left" vertical="top" wrapText="1"/>
    </xf>
    <xf numFmtId="0" fontId="23" fillId="0" borderId="1" xfId="0" applyFont="1" applyBorder="1" applyAlignment="1">
      <alignment horizontal="center" vertical="center"/>
    </xf>
    <xf numFmtId="0" fontId="3" fillId="0" borderId="1" xfId="0" applyFont="1" applyBorder="1" applyAlignment="1">
      <alignment vertical="top"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28" fillId="0" borderId="1" xfId="0" applyFont="1" applyBorder="1" applyAlignment="1">
      <alignment vertical="center"/>
    </xf>
    <xf numFmtId="0" fontId="0" fillId="0" borderId="1" xfId="0" applyBorder="1"/>
    <xf numFmtId="0" fontId="0" fillId="0" borderId="0" xfId="0" applyAlignment="1">
      <alignment horizontal="center" vertical="center"/>
    </xf>
    <xf numFmtId="14" fontId="3" fillId="0" borderId="1" xfId="0" applyNumberFormat="1" applyFont="1" applyBorder="1" applyAlignment="1">
      <alignment horizontal="center" vertical="center"/>
    </xf>
    <xf numFmtId="0" fontId="23" fillId="0" borderId="1" xfId="0" quotePrefix="1" applyFont="1" applyBorder="1" applyAlignment="1">
      <alignment horizontal="center" vertical="center"/>
    </xf>
    <xf numFmtId="0" fontId="0" fillId="0" borderId="2" xfId="0" applyBorder="1" applyAlignment="1">
      <alignment horizontal="center" vertical="center"/>
    </xf>
    <xf numFmtId="0" fontId="0" fillId="0" borderId="1" xfId="0" applyBorder="1" applyAlignment="1">
      <alignment vertical="top"/>
    </xf>
    <xf numFmtId="0" fontId="0" fillId="0" borderId="1" xfId="0" applyFill="1" applyBorder="1" applyAlignment="1">
      <alignment vertical="top"/>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8" fillId="4" borderId="5" xfId="2" applyFont="1" applyFill="1" applyBorder="1" applyAlignment="1">
      <alignment horizontal="center" vertical="center"/>
    </xf>
    <xf numFmtId="0" fontId="8" fillId="4" borderId="6" xfId="2" applyFont="1" applyFill="1" applyBorder="1" applyAlignment="1">
      <alignment horizontal="center" vertical="center"/>
    </xf>
    <xf numFmtId="0" fontId="8" fillId="4" borderId="7" xfId="2" applyFont="1" applyFill="1" applyBorder="1" applyAlignment="1">
      <alignment horizontal="center" vertical="center"/>
    </xf>
    <xf numFmtId="0" fontId="8" fillId="4" borderId="8" xfId="2" applyFont="1" applyFill="1" applyBorder="1" applyAlignment="1">
      <alignment horizontal="center" vertical="center"/>
    </xf>
    <xf numFmtId="0" fontId="8" fillId="4" borderId="0" xfId="2" applyFont="1" applyFill="1" applyAlignment="1">
      <alignment horizontal="center" vertical="center"/>
    </xf>
    <xf numFmtId="0" fontId="8" fillId="4" borderId="9" xfId="2" applyFont="1" applyFill="1" applyBorder="1" applyAlignment="1">
      <alignment horizontal="center" vertical="center"/>
    </xf>
    <xf numFmtId="0" fontId="8" fillId="4" borderId="10" xfId="2" applyFont="1" applyFill="1" applyBorder="1" applyAlignment="1">
      <alignment horizontal="center" vertical="center"/>
    </xf>
    <xf numFmtId="0" fontId="8" fillId="4" borderId="12" xfId="2" applyFont="1" applyFill="1" applyBorder="1" applyAlignment="1">
      <alignment horizontal="center" vertical="center"/>
    </xf>
    <xf numFmtId="0" fontId="8" fillId="4" borderId="11" xfId="2" applyFont="1" applyFill="1" applyBorder="1" applyAlignment="1">
      <alignment horizontal="center" vertical="center"/>
    </xf>
    <xf numFmtId="0" fontId="8" fillId="4" borderId="2" xfId="3" applyFont="1" applyFill="1" applyBorder="1" applyAlignment="1">
      <alignment horizontal="center" vertical="center" wrapText="1"/>
    </xf>
    <xf numFmtId="0" fontId="8" fillId="4" borderId="4" xfId="3" applyFont="1" applyFill="1" applyBorder="1" applyAlignment="1">
      <alignment horizontal="center" vertical="center" wrapText="1"/>
    </xf>
    <xf numFmtId="0" fontId="23" fillId="0" borderId="5" xfId="3" applyFont="1" applyBorder="1" applyAlignment="1">
      <alignment horizontal="center" vertical="center"/>
    </xf>
    <xf numFmtId="0" fontId="23" fillId="0" borderId="7" xfId="3" applyFont="1" applyBorder="1" applyAlignment="1">
      <alignment horizontal="center" vertical="center"/>
    </xf>
    <xf numFmtId="0" fontId="23" fillId="0" borderId="10" xfId="3" applyFont="1" applyBorder="1" applyAlignment="1">
      <alignment horizontal="center" vertical="center"/>
    </xf>
    <xf numFmtId="0" fontId="23" fillId="0" borderId="11" xfId="3" applyFont="1" applyBorder="1" applyAlignment="1">
      <alignment horizontal="center" vertical="center"/>
    </xf>
    <xf numFmtId="0" fontId="23" fillId="0" borderId="5" xfId="0" applyFont="1" applyBorder="1" applyAlignment="1">
      <alignment horizontal="center" vertical="center"/>
    </xf>
    <xf numFmtId="0" fontId="23" fillId="0" borderId="7" xfId="0" applyFont="1" applyBorder="1" applyAlignment="1">
      <alignment horizontal="center" vertical="center"/>
    </xf>
    <xf numFmtId="0" fontId="23" fillId="0" borderId="10" xfId="0" applyFont="1" applyBorder="1" applyAlignment="1">
      <alignment horizontal="center" vertical="center"/>
    </xf>
    <xf numFmtId="0" fontId="23" fillId="0" borderId="11" xfId="0" applyFont="1" applyBorder="1" applyAlignment="1">
      <alignment horizontal="center" vertical="center"/>
    </xf>
    <xf numFmtId="14" fontId="23" fillId="0" borderId="5" xfId="0" applyNumberFormat="1" applyFont="1" applyBorder="1" applyAlignment="1">
      <alignment horizontal="center" vertical="center"/>
    </xf>
    <xf numFmtId="14" fontId="23" fillId="0" borderId="7" xfId="0" applyNumberFormat="1" applyFont="1" applyBorder="1" applyAlignment="1">
      <alignment horizontal="center" vertical="center"/>
    </xf>
    <xf numFmtId="14" fontId="23" fillId="0" borderId="10" xfId="0" applyNumberFormat="1" applyFont="1" applyBorder="1" applyAlignment="1">
      <alignment horizontal="center" vertical="center"/>
    </xf>
    <xf numFmtId="14" fontId="23" fillId="0" borderId="11" xfId="0" applyNumberFormat="1" applyFont="1" applyBorder="1" applyAlignment="1">
      <alignment horizontal="center" vertical="center"/>
    </xf>
    <xf numFmtId="0" fontId="8" fillId="4" borderId="2" xfId="3" applyFont="1" applyFill="1" applyBorder="1" applyAlignment="1">
      <alignment horizontal="center" vertical="center"/>
    </xf>
    <xf numFmtId="0" fontId="8" fillId="4" borderId="3" xfId="3" applyFont="1" applyFill="1" applyBorder="1" applyAlignment="1">
      <alignment horizontal="center" vertical="center"/>
    </xf>
    <xf numFmtId="0" fontId="8" fillId="4" borderId="4" xfId="3" applyFont="1" applyFill="1" applyBorder="1" applyAlignment="1">
      <alignment horizontal="center" vertical="center"/>
    </xf>
    <xf numFmtId="0" fontId="8" fillId="4" borderId="3" xfId="3" applyFont="1" applyFill="1" applyBorder="1" applyAlignment="1">
      <alignment horizontal="center" vertical="center" wrapText="1"/>
    </xf>
    <xf numFmtId="0" fontId="8" fillId="4" borderId="7" xfId="3" applyFont="1" applyFill="1" applyBorder="1" applyAlignment="1">
      <alignment horizontal="center" vertical="center"/>
    </xf>
    <xf numFmtId="0" fontId="8" fillId="4" borderId="9" xfId="3" applyFont="1" applyFill="1" applyBorder="1" applyAlignment="1">
      <alignment horizontal="center" vertical="center"/>
    </xf>
    <xf numFmtId="0" fontId="11" fillId="0" borderId="24" xfId="0" applyFont="1" applyBorder="1" applyAlignment="1">
      <alignment horizontal="left" vertical="center"/>
    </xf>
    <xf numFmtId="0" fontId="11" fillId="0" borderId="3" xfId="0" applyFont="1" applyBorder="1" applyAlignment="1">
      <alignment horizontal="left" vertical="center"/>
    </xf>
    <xf numFmtId="0" fontId="11" fillId="0" borderId="2" xfId="0" applyFont="1" applyBorder="1" applyAlignment="1">
      <alignment horizontal="left" vertical="center"/>
    </xf>
    <xf numFmtId="0" fontId="11" fillId="0" borderId="4" xfId="0" applyFont="1" applyBorder="1" applyAlignment="1">
      <alignment horizontal="left" vertical="center"/>
    </xf>
    <xf numFmtId="0" fontId="17" fillId="7" borderId="1" xfId="5" applyFont="1" applyFill="1" applyBorder="1" applyAlignment="1">
      <alignment horizontal="left" vertical="top"/>
    </xf>
    <xf numFmtId="0" fontId="17" fillId="7" borderId="1" xfId="5" applyFont="1" applyFill="1" applyBorder="1" applyAlignment="1">
      <alignment horizontal="left" vertical="top" wrapText="1"/>
    </xf>
  </cellXfs>
  <cellStyles count="6">
    <cellStyle name="Normal" xfId="0" builtinId="0"/>
    <cellStyle name="Normal 2" xfId="1"/>
    <cellStyle name="Normal 3" xfId="5"/>
    <cellStyle name="標準 2" xfId="4"/>
    <cellStyle name="標準_4_開発要件書" xfId="2"/>
    <cellStyle name="標準_テスト仕様書原紙(シナリオテスト)" xfId="3"/>
  </cellStyles>
  <dxfs count="77">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499984740745262"/>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5</xdr:col>
      <xdr:colOff>47625</xdr:colOff>
      <xdr:row>0</xdr:row>
      <xdr:rowOff>180527</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 name="Text Box 3">
          <a:extLst>
            <a:ext uri="{FF2B5EF4-FFF2-40B4-BE49-F238E27FC236}">
              <a16:creationId xmlns:a16="http://schemas.microsoft.com/office/drawing/2014/main" id="{00000000-0008-0000-0100-00000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 name="Text Box 4">
          <a:extLst>
            <a:ext uri="{FF2B5EF4-FFF2-40B4-BE49-F238E27FC236}">
              <a16:creationId xmlns:a16="http://schemas.microsoft.com/office/drawing/2014/main" id="{00000000-0008-0000-0100-00000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 name="Text Box 5">
          <a:extLst>
            <a:ext uri="{FF2B5EF4-FFF2-40B4-BE49-F238E27FC236}">
              <a16:creationId xmlns:a16="http://schemas.microsoft.com/office/drawing/2014/main" id="{00000000-0008-0000-0100-00000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 name="Text Box 6">
          <a:extLst>
            <a:ext uri="{FF2B5EF4-FFF2-40B4-BE49-F238E27FC236}">
              <a16:creationId xmlns:a16="http://schemas.microsoft.com/office/drawing/2014/main" id="{00000000-0008-0000-0100-00000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 name="Text Box 7">
          <a:extLst>
            <a:ext uri="{FF2B5EF4-FFF2-40B4-BE49-F238E27FC236}">
              <a16:creationId xmlns:a16="http://schemas.microsoft.com/office/drawing/2014/main" id="{00000000-0008-0000-0100-00000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 name="Text Box 9">
          <a:extLst>
            <a:ext uri="{FF2B5EF4-FFF2-40B4-BE49-F238E27FC236}">
              <a16:creationId xmlns:a16="http://schemas.microsoft.com/office/drawing/2014/main" id="{00000000-0008-0000-0100-00000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 name="Text Box 10">
          <a:extLst>
            <a:ext uri="{FF2B5EF4-FFF2-40B4-BE49-F238E27FC236}">
              <a16:creationId xmlns:a16="http://schemas.microsoft.com/office/drawing/2014/main" id="{00000000-0008-0000-0100-00000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 name="Text Box 11">
          <a:extLst>
            <a:ext uri="{FF2B5EF4-FFF2-40B4-BE49-F238E27FC236}">
              <a16:creationId xmlns:a16="http://schemas.microsoft.com/office/drawing/2014/main" id="{00000000-0008-0000-0100-00000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 name="Text Box 12">
          <a:extLst>
            <a:ext uri="{FF2B5EF4-FFF2-40B4-BE49-F238E27FC236}">
              <a16:creationId xmlns:a16="http://schemas.microsoft.com/office/drawing/2014/main" id="{00000000-0008-0000-0100-00000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 name="Text Box 13">
          <a:extLst>
            <a:ext uri="{FF2B5EF4-FFF2-40B4-BE49-F238E27FC236}">
              <a16:creationId xmlns:a16="http://schemas.microsoft.com/office/drawing/2014/main" id="{00000000-0008-0000-0100-00000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 name="Text Box 14">
          <a:extLst>
            <a:ext uri="{FF2B5EF4-FFF2-40B4-BE49-F238E27FC236}">
              <a16:creationId xmlns:a16="http://schemas.microsoft.com/office/drawing/2014/main" id="{00000000-0008-0000-0100-00000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 name="Text Box 15">
          <a:extLst>
            <a:ext uri="{FF2B5EF4-FFF2-40B4-BE49-F238E27FC236}">
              <a16:creationId xmlns:a16="http://schemas.microsoft.com/office/drawing/2014/main" id="{00000000-0008-0000-0100-00001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 name="Text Box 16">
          <a:extLst>
            <a:ext uri="{FF2B5EF4-FFF2-40B4-BE49-F238E27FC236}">
              <a16:creationId xmlns:a16="http://schemas.microsoft.com/office/drawing/2014/main" id="{00000000-0008-0000-0100-00001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 name="Text Box 17">
          <a:extLst>
            <a:ext uri="{FF2B5EF4-FFF2-40B4-BE49-F238E27FC236}">
              <a16:creationId xmlns:a16="http://schemas.microsoft.com/office/drawing/2014/main" id="{00000000-0008-0000-0100-00001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 name="Text Box 18">
          <a:extLst>
            <a:ext uri="{FF2B5EF4-FFF2-40B4-BE49-F238E27FC236}">
              <a16:creationId xmlns:a16="http://schemas.microsoft.com/office/drawing/2014/main" id="{00000000-0008-0000-0100-00001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 name="Text Box 19">
          <a:extLst>
            <a:ext uri="{FF2B5EF4-FFF2-40B4-BE49-F238E27FC236}">
              <a16:creationId xmlns:a16="http://schemas.microsoft.com/office/drawing/2014/main" id="{00000000-0008-0000-0100-00001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 name="Text Box 20">
          <a:extLst>
            <a:ext uri="{FF2B5EF4-FFF2-40B4-BE49-F238E27FC236}">
              <a16:creationId xmlns:a16="http://schemas.microsoft.com/office/drawing/2014/main" id="{00000000-0008-0000-0100-00001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 name="Text Box 21">
          <a:extLst>
            <a:ext uri="{FF2B5EF4-FFF2-40B4-BE49-F238E27FC236}">
              <a16:creationId xmlns:a16="http://schemas.microsoft.com/office/drawing/2014/main" id="{00000000-0008-0000-0100-00001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 name="Text Box 22">
          <a:extLst>
            <a:ext uri="{FF2B5EF4-FFF2-40B4-BE49-F238E27FC236}">
              <a16:creationId xmlns:a16="http://schemas.microsoft.com/office/drawing/2014/main" id="{00000000-0008-0000-0100-00001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 name="Text Box 23">
          <a:extLst>
            <a:ext uri="{FF2B5EF4-FFF2-40B4-BE49-F238E27FC236}">
              <a16:creationId xmlns:a16="http://schemas.microsoft.com/office/drawing/2014/main" id="{00000000-0008-0000-0100-00001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 name="Text Box 24">
          <a:extLst>
            <a:ext uri="{FF2B5EF4-FFF2-40B4-BE49-F238E27FC236}">
              <a16:creationId xmlns:a16="http://schemas.microsoft.com/office/drawing/2014/main" id="{00000000-0008-0000-0100-00001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 name="Text Box 25">
          <a:extLst>
            <a:ext uri="{FF2B5EF4-FFF2-40B4-BE49-F238E27FC236}">
              <a16:creationId xmlns:a16="http://schemas.microsoft.com/office/drawing/2014/main" id="{00000000-0008-0000-0100-00001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 name="Text Box 26">
          <a:extLst>
            <a:ext uri="{FF2B5EF4-FFF2-40B4-BE49-F238E27FC236}">
              <a16:creationId xmlns:a16="http://schemas.microsoft.com/office/drawing/2014/main" id="{00000000-0008-0000-0100-00001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 name="Text Box 27">
          <a:extLst>
            <a:ext uri="{FF2B5EF4-FFF2-40B4-BE49-F238E27FC236}">
              <a16:creationId xmlns:a16="http://schemas.microsoft.com/office/drawing/2014/main" id="{00000000-0008-0000-0100-00001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 name="Text Box 28">
          <a:extLst>
            <a:ext uri="{FF2B5EF4-FFF2-40B4-BE49-F238E27FC236}">
              <a16:creationId xmlns:a16="http://schemas.microsoft.com/office/drawing/2014/main" id="{00000000-0008-0000-0100-00001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0" name="Text Box 29">
          <a:extLst>
            <a:ext uri="{FF2B5EF4-FFF2-40B4-BE49-F238E27FC236}">
              <a16:creationId xmlns:a16="http://schemas.microsoft.com/office/drawing/2014/main" id="{00000000-0008-0000-0100-00001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1" name="Text Box 30">
          <a:extLst>
            <a:ext uri="{FF2B5EF4-FFF2-40B4-BE49-F238E27FC236}">
              <a16:creationId xmlns:a16="http://schemas.microsoft.com/office/drawing/2014/main" id="{00000000-0008-0000-0100-00001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2" name="Text Box 31">
          <a:extLst>
            <a:ext uri="{FF2B5EF4-FFF2-40B4-BE49-F238E27FC236}">
              <a16:creationId xmlns:a16="http://schemas.microsoft.com/office/drawing/2014/main" id="{00000000-0008-0000-0100-00002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3" name="Text Box 32">
          <a:extLst>
            <a:ext uri="{FF2B5EF4-FFF2-40B4-BE49-F238E27FC236}">
              <a16:creationId xmlns:a16="http://schemas.microsoft.com/office/drawing/2014/main" id="{00000000-0008-0000-0100-00002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4" name="Text Box 33">
          <a:extLst>
            <a:ext uri="{FF2B5EF4-FFF2-40B4-BE49-F238E27FC236}">
              <a16:creationId xmlns:a16="http://schemas.microsoft.com/office/drawing/2014/main" id="{00000000-0008-0000-0100-00002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5" name="Text Box 34">
          <a:extLst>
            <a:ext uri="{FF2B5EF4-FFF2-40B4-BE49-F238E27FC236}">
              <a16:creationId xmlns:a16="http://schemas.microsoft.com/office/drawing/2014/main" id="{00000000-0008-0000-0100-00002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6" name="Text Box 35">
          <a:extLst>
            <a:ext uri="{FF2B5EF4-FFF2-40B4-BE49-F238E27FC236}">
              <a16:creationId xmlns:a16="http://schemas.microsoft.com/office/drawing/2014/main" id="{00000000-0008-0000-0100-00002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7" name="Text Box 36">
          <a:extLst>
            <a:ext uri="{FF2B5EF4-FFF2-40B4-BE49-F238E27FC236}">
              <a16:creationId xmlns:a16="http://schemas.microsoft.com/office/drawing/2014/main" id="{00000000-0008-0000-0100-00002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8" name="Text Box 37">
          <a:extLst>
            <a:ext uri="{FF2B5EF4-FFF2-40B4-BE49-F238E27FC236}">
              <a16:creationId xmlns:a16="http://schemas.microsoft.com/office/drawing/2014/main" id="{00000000-0008-0000-0100-00002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9" name="Text Box 38">
          <a:extLst>
            <a:ext uri="{FF2B5EF4-FFF2-40B4-BE49-F238E27FC236}">
              <a16:creationId xmlns:a16="http://schemas.microsoft.com/office/drawing/2014/main" id="{00000000-0008-0000-0100-00002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0" name="Text Box 39">
          <a:extLst>
            <a:ext uri="{FF2B5EF4-FFF2-40B4-BE49-F238E27FC236}">
              <a16:creationId xmlns:a16="http://schemas.microsoft.com/office/drawing/2014/main" id="{00000000-0008-0000-0100-00002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1" name="Text Box 40">
          <a:extLst>
            <a:ext uri="{FF2B5EF4-FFF2-40B4-BE49-F238E27FC236}">
              <a16:creationId xmlns:a16="http://schemas.microsoft.com/office/drawing/2014/main" id="{00000000-0008-0000-0100-00002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2" name="Text Box 41">
          <a:extLst>
            <a:ext uri="{FF2B5EF4-FFF2-40B4-BE49-F238E27FC236}">
              <a16:creationId xmlns:a16="http://schemas.microsoft.com/office/drawing/2014/main" id="{00000000-0008-0000-0100-00002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3" name="Text Box 42">
          <a:extLst>
            <a:ext uri="{FF2B5EF4-FFF2-40B4-BE49-F238E27FC236}">
              <a16:creationId xmlns:a16="http://schemas.microsoft.com/office/drawing/2014/main" id="{00000000-0008-0000-0100-00002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4" name="Text Box 43">
          <a:extLst>
            <a:ext uri="{FF2B5EF4-FFF2-40B4-BE49-F238E27FC236}">
              <a16:creationId xmlns:a16="http://schemas.microsoft.com/office/drawing/2014/main" id="{00000000-0008-0000-0100-00002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5" name="Text Box 44">
          <a:extLst>
            <a:ext uri="{FF2B5EF4-FFF2-40B4-BE49-F238E27FC236}">
              <a16:creationId xmlns:a16="http://schemas.microsoft.com/office/drawing/2014/main" id="{00000000-0008-0000-0100-00002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6" name="Text Box 45">
          <a:extLst>
            <a:ext uri="{FF2B5EF4-FFF2-40B4-BE49-F238E27FC236}">
              <a16:creationId xmlns:a16="http://schemas.microsoft.com/office/drawing/2014/main" id="{00000000-0008-0000-0100-00002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7" name="Text Box 46">
          <a:extLst>
            <a:ext uri="{FF2B5EF4-FFF2-40B4-BE49-F238E27FC236}">
              <a16:creationId xmlns:a16="http://schemas.microsoft.com/office/drawing/2014/main" id="{00000000-0008-0000-0100-00002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8" name="Text Box 47">
          <a:extLst>
            <a:ext uri="{FF2B5EF4-FFF2-40B4-BE49-F238E27FC236}">
              <a16:creationId xmlns:a16="http://schemas.microsoft.com/office/drawing/2014/main" id="{00000000-0008-0000-0100-00003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49" name="Text Box 48">
          <a:extLst>
            <a:ext uri="{FF2B5EF4-FFF2-40B4-BE49-F238E27FC236}">
              <a16:creationId xmlns:a16="http://schemas.microsoft.com/office/drawing/2014/main" id="{00000000-0008-0000-0100-00003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0" name="Text Box 49">
          <a:extLst>
            <a:ext uri="{FF2B5EF4-FFF2-40B4-BE49-F238E27FC236}">
              <a16:creationId xmlns:a16="http://schemas.microsoft.com/office/drawing/2014/main" id="{00000000-0008-0000-0100-00003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1" name="Text Box 50">
          <a:extLst>
            <a:ext uri="{FF2B5EF4-FFF2-40B4-BE49-F238E27FC236}">
              <a16:creationId xmlns:a16="http://schemas.microsoft.com/office/drawing/2014/main" id="{00000000-0008-0000-0100-00003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2" name="Text Box 51">
          <a:extLst>
            <a:ext uri="{FF2B5EF4-FFF2-40B4-BE49-F238E27FC236}">
              <a16:creationId xmlns:a16="http://schemas.microsoft.com/office/drawing/2014/main" id="{00000000-0008-0000-0100-00003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3" name="Text Box 52">
          <a:extLst>
            <a:ext uri="{FF2B5EF4-FFF2-40B4-BE49-F238E27FC236}">
              <a16:creationId xmlns:a16="http://schemas.microsoft.com/office/drawing/2014/main" id="{00000000-0008-0000-0100-00003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4" name="Text Box 53">
          <a:extLst>
            <a:ext uri="{FF2B5EF4-FFF2-40B4-BE49-F238E27FC236}">
              <a16:creationId xmlns:a16="http://schemas.microsoft.com/office/drawing/2014/main" id="{00000000-0008-0000-0100-00003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5" name="Text Box 54">
          <a:extLst>
            <a:ext uri="{FF2B5EF4-FFF2-40B4-BE49-F238E27FC236}">
              <a16:creationId xmlns:a16="http://schemas.microsoft.com/office/drawing/2014/main" id="{00000000-0008-0000-0100-00003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6" name="Text Box 55">
          <a:extLst>
            <a:ext uri="{FF2B5EF4-FFF2-40B4-BE49-F238E27FC236}">
              <a16:creationId xmlns:a16="http://schemas.microsoft.com/office/drawing/2014/main" id="{00000000-0008-0000-0100-00003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7" name="Text Box 56">
          <a:extLst>
            <a:ext uri="{FF2B5EF4-FFF2-40B4-BE49-F238E27FC236}">
              <a16:creationId xmlns:a16="http://schemas.microsoft.com/office/drawing/2014/main" id="{00000000-0008-0000-0100-00003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8" name="Text Box 57">
          <a:extLst>
            <a:ext uri="{FF2B5EF4-FFF2-40B4-BE49-F238E27FC236}">
              <a16:creationId xmlns:a16="http://schemas.microsoft.com/office/drawing/2014/main" id="{00000000-0008-0000-0100-00003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59" name="Text Box 58">
          <a:extLst>
            <a:ext uri="{FF2B5EF4-FFF2-40B4-BE49-F238E27FC236}">
              <a16:creationId xmlns:a16="http://schemas.microsoft.com/office/drawing/2014/main" id="{00000000-0008-0000-0100-00003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0" name="Text Box 59">
          <a:extLst>
            <a:ext uri="{FF2B5EF4-FFF2-40B4-BE49-F238E27FC236}">
              <a16:creationId xmlns:a16="http://schemas.microsoft.com/office/drawing/2014/main" id="{00000000-0008-0000-0100-00003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1" name="Text Box 60">
          <a:extLst>
            <a:ext uri="{FF2B5EF4-FFF2-40B4-BE49-F238E27FC236}">
              <a16:creationId xmlns:a16="http://schemas.microsoft.com/office/drawing/2014/main" id="{00000000-0008-0000-0100-00003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2" name="Text Box 61">
          <a:extLst>
            <a:ext uri="{FF2B5EF4-FFF2-40B4-BE49-F238E27FC236}">
              <a16:creationId xmlns:a16="http://schemas.microsoft.com/office/drawing/2014/main" id="{00000000-0008-0000-0100-00003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3" name="Text Box 62">
          <a:extLst>
            <a:ext uri="{FF2B5EF4-FFF2-40B4-BE49-F238E27FC236}">
              <a16:creationId xmlns:a16="http://schemas.microsoft.com/office/drawing/2014/main" id="{00000000-0008-0000-0100-00003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4" name="Text Box 63">
          <a:extLst>
            <a:ext uri="{FF2B5EF4-FFF2-40B4-BE49-F238E27FC236}">
              <a16:creationId xmlns:a16="http://schemas.microsoft.com/office/drawing/2014/main" id="{00000000-0008-0000-0100-00004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5" name="Text Box 64">
          <a:extLst>
            <a:ext uri="{FF2B5EF4-FFF2-40B4-BE49-F238E27FC236}">
              <a16:creationId xmlns:a16="http://schemas.microsoft.com/office/drawing/2014/main" id="{00000000-0008-0000-0100-00004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6" name="Text Box 65">
          <a:extLst>
            <a:ext uri="{FF2B5EF4-FFF2-40B4-BE49-F238E27FC236}">
              <a16:creationId xmlns:a16="http://schemas.microsoft.com/office/drawing/2014/main" id="{00000000-0008-0000-0100-00004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7" name="Text Box 66">
          <a:extLst>
            <a:ext uri="{FF2B5EF4-FFF2-40B4-BE49-F238E27FC236}">
              <a16:creationId xmlns:a16="http://schemas.microsoft.com/office/drawing/2014/main" id="{00000000-0008-0000-0100-00004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8" name="Text Box 67">
          <a:extLst>
            <a:ext uri="{FF2B5EF4-FFF2-40B4-BE49-F238E27FC236}">
              <a16:creationId xmlns:a16="http://schemas.microsoft.com/office/drawing/2014/main" id="{00000000-0008-0000-0100-00004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69" name="Text Box 68">
          <a:extLst>
            <a:ext uri="{FF2B5EF4-FFF2-40B4-BE49-F238E27FC236}">
              <a16:creationId xmlns:a16="http://schemas.microsoft.com/office/drawing/2014/main" id="{00000000-0008-0000-0100-00004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0" name="Text Box 69">
          <a:extLst>
            <a:ext uri="{FF2B5EF4-FFF2-40B4-BE49-F238E27FC236}">
              <a16:creationId xmlns:a16="http://schemas.microsoft.com/office/drawing/2014/main" id="{00000000-0008-0000-0100-00004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1" name="Text Box 70">
          <a:extLst>
            <a:ext uri="{FF2B5EF4-FFF2-40B4-BE49-F238E27FC236}">
              <a16:creationId xmlns:a16="http://schemas.microsoft.com/office/drawing/2014/main" id="{00000000-0008-0000-0100-00004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2" name="Text Box 71">
          <a:extLst>
            <a:ext uri="{FF2B5EF4-FFF2-40B4-BE49-F238E27FC236}">
              <a16:creationId xmlns:a16="http://schemas.microsoft.com/office/drawing/2014/main" id="{00000000-0008-0000-0100-00004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3" name="Text Box 72">
          <a:extLst>
            <a:ext uri="{FF2B5EF4-FFF2-40B4-BE49-F238E27FC236}">
              <a16:creationId xmlns:a16="http://schemas.microsoft.com/office/drawing/2014/main" id="{00000000-0008-0000-0100-00004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4" name="Text Box 73">
          <a:extLst>
            <a:ext uri="{FF2B5EF4-FFF2-40B4-BE49-F238E27FC236}">
              <a16:creationId xmlns:a16="http://schemas.microsoft.com/office/drawing/2014/main" id="{00000000-0008-0000-0100-00004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5" name="Text Box 74">
          <a:extLst>
            <a:ext uri="{FF2B5EF4-FFF2-40B4-BE49-F238E27FC236}">
              <a16:creationId xmlns:a16="http://schemas.microsoft.com/office/drawing/2014/main" id="{00000000-0008-0000-0100-00004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6" name="Text Box 75">
          <a:extLst>
            <a:ext uri="{FF2B5EF4-FFF2-40B4-BE49-F238E27FC236}">
              <a16:creationId xmlns:a16="http://schemas.microsoft.com/office/drawing/2014/main" id="{00000000-0008-0000-0100-00004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7" name="Text Box 76">
          <a:extLst>
            <a:ext uri="{FF2B5EF4-FFF2-40B4-BE49-F238E27FC236}">
              <a16:creationId xmlns:a16="http://schemas.microsoft.com/office/drawing/2014/main" id="{00000000-0008-0000-0100-00004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8" name="Text Box 77">
          <a:extLst>
            <a:ext uri="{FF2B5EF4-FFF2-40B4-BE49-F238E27FC236}">
              <a16:creationId xmlns:a16="http://schemas.microsoft.com/office/drawing/2014/main" id="{00000000-0008-0000-0100-00004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79" name="Text Box 78">
          <a:extLst>
            <a:ext uri="{FF2B5EF4-FFF2-40B4-BE49-F238E27FC236}">
              <a16:creationId xmlns:a16="http://schemas.microsoft.com/office/drawing/2014/main" id="{00000000-0008-0000-0100-00004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0" name="Text Box 79">
          <a:extLst>
            <a:ext uri="{FF2B5EF4-FFF2-40B4-BE49-F238E27FC236}">
              <a16:creationId xmlns:a16="http://schemas.microsoft.com/office/drawing/2014/main" id="{00000000-0008-0000-0100-00005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1" name="Text Box 80">
          <a:extLst>
            <a:ext uri="{FF2B5EF4-FFF2-40B4-BE49-F238E27FC236}">
              <a16:creationId xmlns:a16="http://schemas.microsoft.com/office/drawing/2014/main" id="{00000000-0008-0000-0100-00005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2" name="Text Box 81">
          <a:extLst>
            <a:ext uri="{FF2B5EF4-FFF2-40B4-BE49-F238E27FC236}">
              <a16:creationId xmlns:a16="http://schemas.microsoft.com/office/drawing/2014/main" id="{00000000-0008-0000-0100-00005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3" name="Text Box 82">
          <a:extLst>
            <a:ext uri="{FF2B5EF4-FFF2-40B4-BE49-F238E27FC236}">
              <a16:creationId xmlns:a16="http://schemas.microsoft.com/office/drawing/2014/main" id="{00000000-0008-0000-0100-00005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4" name="Text Box 83">
          <a:extLst>
            <a:ext uri="{FF2B5EF4-FFF2-40B4-BE49-F238E27FC236}">
              <a16:creationId xmlns:a16="http://schemas.microsoft.com/office/drawing/2014/main" id="{00000000-0008-0000-0100-00005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5" name="Text Box 84">
          <a:extLst>
            <a:ext uri="{FF2B5EF4-FFF2-40B4-BE49-F238E27FC236}">
              <a16:creationId xmlns:a16="http://schemas.microsoft.com/office/drawing/2014/main" id="{00000000-0008-0000-0100-00005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6" name="Text Box 85">
          <a:extLst>
            <a:ext uri="{FF2B5EF4-FFF2-40B4-BE49-F238E27FC236}">
              <a16:creationId xmlns:a16="http://schemas.microsoft.com/office/drawing/2014/main" id="{00000000-0008-0000-0100-00005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7" name="Text Box 86">
          <a:extLst>
            <a:ext uri="{FF2B5EF4-FFF2-40B4-BE49-F238E27FC236}">
              <a16:creationId xmlns:a16="http://schemas.microsoft.com/office/drawing/2014/main" id="{00000000-0008-0000-0100-00005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8" name="Text Box 87">
          <a:extLst>
            <a:ext uri="{FF2B5EF4-FFF2-40B4-BE49-F238E27FC236}">
              <a16:creationId xmlns:a16="http://schemas.microsoft.com/office/drawing/2014/main" id="{00000000-0008-0000-0100-00005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89" name="Text Box 88">
          <a:extLst>
            <a:ext uri="{FF2B5EF4-FFF2-40B4-BE49-F238E27FC236}">
              <a16:creationId xmlns:a16="http://schemas.microsoft.com/office/drawing/2014/main" id="{00000000-0008-0000-0100-00005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0" name="Text Box 89">
          <a:extLst>
            <a:ext uri="{FF2B5EF4-FFF2-40B4-BE49-F238E27FC236}">
              <a16:creationId xmlns:a16="http://schemas.microsoft.com/office/drawing/2014/main" id="{00000000-0008-0000-0100-00005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1" name="Text Box 90">
          <a:extLst>
            <a:ext uri="{FF2B5EF4-FFF2-40B4-BE49-F238E27FC236}">
              <a16:creationId xmlns:a16="http://schemas.microsoft.com/office/drawing/2014/main" id="{00000000-0008-0000-0100-00005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2" name="Text Box 91">
          <a:extLst>
            <a:ext uri="{FF2B5EF4-FFF2-40B4-BE49-F238E27FC236}">
              <a16:creationId xmlns:a16="http://schemas.microsoft.com/office/drawing/2014/main" id="{00000000-0008-0000-0100-00005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3" name="Text Box 92">
          <a:extLst>
            <a:ext uri="{FF2B5EF4-FFF2-40B4-BE49-F238E27FC236}">
              <a16:creationId xmlns:a16="http://schemas.microsoft.com/office/drawing/2014/main" id="{00000000-0008-0000-0100-00005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4" name="Text Box 93">
          <a:extLst>
            <a:ext uri="{FF2B5EF4-FFF2-40B4-BE49-F238E27FC236}">
              <a16:creationId xmlns:a16="http://schemas.microsoft.com/office/drawing/2014/main" id="{00000000-0008-0000-0100-00005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5" name="Text Box 94">
          <a:extLst>
            <a:ext uri="{FF2B5EF4-FFF2-40B4-BE49-F238E27FC236}">
              <a16:creationId xmlns:a16="http://schemas.microsoft.com/office/drawing/2014/main" id="{00000000-0008-0000-0100-00005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6" name="Text Box 95">
          <a:extLst>
            <a:ext uri="{FF2B5EF4-FFF2-40B4-BE49-F238E27FC236}">
              <a16:creationId xmlns:a16="http://schemas.microsoft.com/office/drawing/2014/main" id="{00000000-0008-0000-0100-00006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7" name="Text Box 96">
          <a:extLst>
            <a:ext uri="{FF2B5EF4-FFF2-40B4-BE49-F238E27FC236}">
              <a16:creationId xmlns:a16="http://schemas.microsoft.com/office/drawing/2014/main" id="{00000000-0008-0000-0100-00006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8" name="Text Box 97">
          <a:extLst>
            <a:ext uri="{FF2B5EF4-FFF2-40B4-BE49-F238E27FC236}">
              <a16:creationId xmlns:a16="http://schemas.microsoft.com/office/drawing/2014/main" id="{00000000-0008-0000-0100-00006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99" name="Text Box 98">
          <a:extLst>
            <a:ext uri="{FF2B5EF4-FFF2-40B4-BE49-F238E27FC236}">
              <a16:creationId xmlns:a16="http://schemas.microsoft.com/office/drawing/2014/main" id="{00000000-0008-0000-0100-00006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0" name="Text Box 99">
          <a:extLst>
            <a:ext uri="{FF2B5EF4-FFF2-40B4-BE49-F238E27FC236}">
              <a16:creationId xmlns:a16="http://schemas.microsoft.com/office/drawing/2014/main" id="{00000000-0008-0000-0100-00006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1" name="Text Box 100">
          <a:extLst>
            <a:ext uri="{FF2B5EF4-FFF2-40B4-BE49-F238E27FC236}">
              <a16:creationId xmlns:a16="http://schemas.microsoft.com/office/drawing/2014/main" id="{00000000-0008-0000-0100-00006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2" name="Text Box 101">
          <a:extLst>
            <a:ext uri="{FF2B5EF4-FFF2-40B4-BE49-F238E27FC236}">
              <a16:creationId xmlns:a16="http://schemas.microsoft.com/office/drawing/2014/main" id="{00000000-0008-0000-0100-00006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3" name="Text Box 102">
          <a:extLst>
            <a:ext uri="{FF2B5EF4-FFF2-40B4-BE49-F238E27FC236}">
              <a16:creationId xmlns:a16="http://schemas.microsoft.com/office/drawing/2014/main" id="{00000000-0008-0000-0100-00006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4" name="Text Box 103">
          <a:extLst>
            <a:ext uri="{FF2B5EF4-FFF2-40B4-BE49-F238E27FC236}">
              <a16:creationId xmlns:a16="http://schemas.microsoft.com/office/drawing/2014/main" id="{00000000-0008-0000-0100-00006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5" name="Text Box 104">
          <a:extLst>
            <a:ext uri="{FF2B5EF4-FFF2-40B4-BE49-F238E27FC236}">
              <a16:creationId xmlns:a16="http://schemas.microsoft.com/office/drawing/2014/main" id="{00000000-0008-0000-0100-00006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6" name="Text Box 105">
          <a:extLst>
            <a:ext uri="{FF2B5EF4-FFF2-40B4-BE49-F238E27FC236}">
              <a16:creationId xmlns:a16="http://schemas.microsoft.com/office/drawing/2014/main" id="{00000000-0008-0000-0100-00006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7" name="Text Box 106">
          <a:extLst>
            <a:ext uri="{FF2B5EF4-FFF2-40B4-BE49-F238E27FC236}">
              <a16:creationId xmlns:a16="http://schemas.microsoft.com/office/drawing/2014/main" id="{00000000-0008-0000-0100-00006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8" name="Text Box 107">
          <a:extLst>
            <a:ext uri="{FF2B5EF4-FFF2-40B4-BE49-F238E27FC236}">
              <a16:creationId xmlns:a16="http://schemas.microsoft.com/office/drawing/2014/main" id="{00000000-0008-0000-0100-00006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09" name="Text Box 108">
          <a:extLst>
            <a:ext uri="{FF2B5EF4-FFF2-40B4-BE49-F238E27FC236}">
              <a16:creationId xmlns:a16="http://schemas.microsoft.com/office/drawing/2014/main" id="{00000000-0008-0000-0100-00006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0" name="Text Box 109">
          <a:extLst>
            <a:ext uri="{FF2B5EF4-FFF2-40B4-BE49-F238E27FC236}">
              <a16:creationId xmlns:a16="http://schemas.microsoft.com/office/drawing/2014/main" id="{00000000-0008-0000-0100-00006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1" name="Text Box 110">
          <a:extLst>
            <a:ext uri="{FF2B5EF4-FFF2-40B4-BE49-F238E27FC236}">
              <a16:creationId xmlns:a16="http://schemas.microsoft.com/office/drawing/2014/main" id="{00000000-0008-0000-0100-00006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2" name="Text Box 111">
          <a:extLst>
            <a:ext uri="{FF2B5EF4-FFF2-40B4-BE49-F238E27FC236}">
              <a16:creationId xmlns:a16="http://schemas.microsoft.com/office/drawing/2014/main" id="{00000000-0008-0000-0100-00007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3" name="Text Box 112">
          <a:extLst>
            <a:ext uri="{FF2B5EF4-FFF2-40B4-BE49-F238E27FC236}">
              <a16:creationId xmlns:a16="http://schemas.microsoft.com/office/drawing/2014/main" id="{00000000-0008-0000-0100-00007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4" name="Text Box 113">
          <a:extLst>
            <a:ext uri="{FF2B5EF4-FFF2-40B4-BE49-F238E27FC236}">
              <a16:creationId xmlns:a16="http://schemas.microsoft.com/office/drawing/2014/main" id="{00000000-0008-0000-0100-00007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5" name="Text Box 114">
          <a:extLst>
            <a:ext uri="{FF2B5EF4-FFF2-40B4-BE49-F238E27FC236}">
              <a16:creationId xmlns:a16="http://schemas.microsoft.com/office/drawing/2014/main" id="{00000000-0008-0000-0100-00007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6" name="Text Box 115">
          <a:extLst>
            <a:ext uri="{FF2B5EF4-FFF2-40B4-BE49-F238E27FC236}">
              <a16:creationId xmlns:a16="http://schemas.microsoft.com/office/drawing/2014/main" id="{00000000-0008-0000-0100-00007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7" name="Text Box 116">
          <a:extLst>
            <a:ext uri="{FF2B5EF4-FFF2-40B4-BE49-F238E27FC236}">
              <a16:creationId xmlns:a16="http://schemas.microsoft.com/office/drawing/2014/main" id="{00000000-0008-0000-0100-00007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8" name="Text Box 117">
          <a:extLst>
            <a:ext uri="{FF2B5EF4-FFF2-40B4-BE49-F238E27FC236}">
              <a16:creationId xmlns:a16="http://schemas.microsoft.com/office/drawing/2014/main" id="{00000000-0008-0000-0100-00007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19" name="Text Box 118">
          <a:extLst>
            <a:ext uri="{FF2B5EF4-FFF2-40B4-BE49-F238E27FC236}">
              <a16:creationId xmlns:a16="http://schemas.microsoft.com/office/drawing/2014/main" id="{00000000-0008-0000-0100-00007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0" name="Text Box 119">
          <a:extLst>
            <a:ext uri="{FF2B5EF4-FFF2-40B4-BE49-F238E27FC236}">
              <a16:creationId xmlns:a16="http://schemas.microsoft.com/office/drawing/2014/main" id="{00000000-0008-0000-0100-00007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1" name="Text Box 120">
          <a:extLst>
            <a:ext uri="{FF2B5EF4-FFF2-40B4-BE49-F238E27FC236}">
              <a16:creationId xmlns:a16="http://schemas.microsoft.com/office/drawing/2014/main" id="{00000000-0008-0000-0100-00007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2" name="Text Box 121">
          <a:extLst>
            <a:ext uri="{FF2B5EF4-FFF2-40B4-BE49-F238E27FC236}">
              <a16:creationId xmlns:a16="http://schemas.microsoft.com/office/drawing/2014/main" id="{00000000-0008-0000-0100-00007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3" name="Text Box 122">
          <a:extLst>
            <a:ext uri="{FF2B5EF4-FFF2-40B4-BE49-F238E27FC236}">
              <a16:creationId xmlns:a16="http://schemas.microsoft.com/office/drawing/2014/main" id="{00000000-0008-0000-0100-00007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4" name="Text Box 123">
          <a:extLst>
            <a:ext uri="{FF2B5EF4-FFF2-40B4-BE49-F238E27FC236}">
              <a16:creationId xmlns:a16="http://schemas.microsoft.com/office/drawing/2014/main" id="{00000000-0008-0000-0100-00007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5" name="Text Box 124">
          <a:extLst>
            <a:ext uri="{FF2B5EF4-FFF2-40B4-BE49-F238E27FC236}">
              <a16:creationId xmlns:a16="http://schemas.microsoft.com/office/drawing/2014/main" id="{00000000-0008-0000-0100-00007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6" name="Text Box 125">
          <a:extLst>
            <a:ext uri="{FF2B5EF4-FFF2-40B4-BE49-F238E27FC236}">
              <a16:creationId xmlns:a16="http://schemas.microsoft.com/office/drawing/2014/main" id="{00000000-0008-0000-0100-00007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7" name="Text Box 126">
          <a:extLst>
            <a:ext uri="{FF2B5EF4-FFF2-40B4-BE49-F238E27FC236}">
              <a16:creationId xmlns:a16="http://schemas.microsoft.com/office/drawing/2014/main" id="{00000000-0008-0000-0100-00007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8" name="Text Box 127">
          <a:extLst>
            <a:ext uri="{FF2B5EF4-FFF2-40B4-BE49-F238E27FC236}">
              <a16:creationId xmlns:a16="http://schemas.microsoft.com/office/drawing/2014/main" id="{00000000-0008-0000-0100-00008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29" name="Text Box 128">
          <a:extLst>
            <a:ext uri="{FF2B5EF4-FFF2-40B4-BE49-F238E27FC236}">
              <a16:creationId xmlns:a16="http://schemas.microsoft.com/office/drawing/2014/main" id="{00000000-0008-0000-0100-00008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0" name="Text Box 129">
          <a:extLst>
            <a:ext uri="{FF2B5EF4-FFF2-40B4-BE49-F238E27FC236}">
              <a16:creationId xmlns:a16="http://schemas.microsoft.com/office/drawing/2014/main" id="{00000000-0008-0000-0100-00008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1" name="Text Box 130">
          <a:extLst>
            <a:ext uri="{FF2B5EF4-FFF2-40B4-BE49-F238E27FC236}">
              <a16:creationId xmlns:a16="http://schemas.microsoft.com/office/drawing/2014/main" id="{00000000-0008-0000-0100-00008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2" name="Text Box 131">
          <a:extLst>
            <a:ext uri="{FF2B5EF4-FFF2-40B4-BE49-F238E27FC236}">
              <a16:creationId xmlns:a16="http://schemas.microsoft.com/office/drawing/2014/main" id="{00000000-0008-0000-0100-00008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3" name="Text Box 132">
          <a:extLst>
            <a:ext uri="{FF2B5EF4-FFF2-40B4-BE49-F238E27FC236}">
              <a16:creationId xmlns:a16="http://schemas.microsoft.com/office/drawing/2014/main" id="{00000000-0008-0000-0100-00008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4" name="Text Box 133">
          <a:extLst>
            <a:ext uri="{FF2B5EF4-FFF2-40B4-BE49-F238E27FC236}">
              <a16:creationId xmlns:a16="http://schemas.microsoft.com/office/drawing/2014/main" id="{00000000-0008-0000-0100-00008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5" name="Text Box 134">
          <a:extLst>
            <a:ext uri="{FF2B5EF4-FFF2-40B4-BE49-F238E27FC236}">
              <a16:creationId xmlns:a16="http://schemas.microsoft.com/office/drawing/2014/main" id="{00000000-0008-0000-0100-00008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6" name="Text Box 135">
          <a:extLst>
            <a:ext uri="{FF2B5EF4-FFF2-40B4-BE49-F238E27FC236}">
              <a16:creationId xmlns:a16="http://schemas.microsoft.com/office/drawing/2014/main" id="{00000000-0008-0000-0100-00008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7" name="Text Box 136">
          <a:extLst>
            <a:ext uri="{FF2B5EF4-FFF2-40B4-BE49-F238E27FC236}">
              <a16:creationId xmlns:a16="http://schemas.microsoft.com/office/drawing/2014/main" id="{00000000-0008-0000-0100-00008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8" name="Text Box 137">
          <a:extLst>
            <a:ext uri="{FF2B5EF4-FFF2-40B4-BE49-F238E27FC236}">
              <a16:creationId xmlns:a16="http://schemas.microsoft.com/office/drawing/2014/main" id="{00000000-0008-0000-0100-00008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39" name="Text Box 138">
          <a:extLst>
            <a:ext uri="{FF2B5EF4-FFF2-40B4-BE49-F238E27FC236}">
              <a16:creationId xmlns:a16="http://schemas.microsoft.com/office/drawing/2014/main" id="{00000000-0008-0000-0100-00008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0" name="Text Box 139">
          <a:extLst>
            <a:ext uri="{FF2B5EF4-FFF2-40B4-BE49-F238E27FC236}">
              <a16:creationId xmlns:a16="http://schemas.microsoft.com/office/drawing/2014/main" id="{00000000-0008-0000-0100-00008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1" name="Text Box 140">
          <a:extLst>
            <a:ext uri="{FF2B5EF4-FFF2-40B4-BE49-F238E27FC236}">
              <a16:creationId xmlns:a16="http://schemas.microsoft.com/office/drawing/2014/main" id="{00000000-0008-0000-0100-00008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2" name="Text Box 141">
          <a:extLst>
            <a:ext uri="{FF2B5EF4-FFF2-40B4-BE49-F238E27FC236}">
              <a16:creationId xmlns:a16="http://schemas.microsoft.com/office/drawing/2014/main" id="{00000000-0008-0000-0100-00008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3" name="Text Box 142">
          <a:extLst>
            <a:ext uri="{FF2B5EF4-FFF2-40B4-BE49-F238E27FC236}">
              <a16:creationId xmlns:a16="http://schemas.microsoft.com/office/drawing/2014/main" id="{00000000-0008-0000-0100-00008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4" name="Text Box 143">
          <a:extLst>
            <a:ext uri="{FF2B5EF4-FFF2-40B4-BE49-F238E27FC236}">
              <a16:creationId xmlns:a16="http://schemas.microsoft.com/office/drawing/2014/main" id="{00000000-0008-0000-0100-00009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5" name="Text Box 144">
          <a:extLst>
            <a:ext uri="{FF2B5EF4-FFF2-40B4-BE49-F238E27FC236}">
              <a16:creationId xmlns:a16="http://schemas.microsoft.com/office/drawing/2014/main" id="{00000000-0008-0000-0100-00009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6" name="Text Box 146">
          <a:extLst>
            <a:ext uri="{FF2B5EF4-FFF2-40B4-BE49-F238E27FC236}">
              <a16:creationId xmlns:a16="http://schemas.microsoft.com/office/drawing/2014/main" id="{00000000-0008-0000-0100-00009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7" name="Text Box 147">
          <a:extLst>
            <a:ext uri="{FF2B5EF4-FFF2-40B4-BE49-F238E27FC236}">
              <a16:creationId xmlns:a16="http://schemas.microsoft.com/office/drawing/2014/main" id="{00000000-0008-0000-0100-00009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8" name="Text Box 148">
          <a:extLst>
            <a:ext uri="{FF2B5EF4-FFF2-40B4-BE49-F238E27FC236}">
              <a16:creationId xmlns:a16="http://schemas.microsoft.com/office/drawing/2014/main" id="{00000000-0008-0000-0100-00009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49" name="Text Box 149">
          <a:extLst>
            <a:ext uri="{FF2B5EF4-FFF2-40B4-BE49-F238E27FC236}">
              <a16:creationId xmlns:a16="http://schemas.microsoft.com/office/drawing/2014/main" id="{00000000-0008-0000-0100-00009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0" name="Text Box 150">
          <a:extLst>
            <a:ext uri="{FF2B5EF4-FFF2-40B4-BE49-F238E27FC236}">
              <a16:creationId xmlns:a16="http://schemas.microsoft.com/office/drawing/2014/main" id="{00000000-0008-0000-0100-00009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1" name="Text Box 151">
          <a:extLst>
            <a:ext uri="{FF2B5EF4-FFF2-40B4-BE49-F238E27FC236}">
              <a16:creationId xmlns:a16="http://schemas.microsoft.com/office/drawing/2014/main" id="{00000000-0008-0000-0100-00009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2" name="Text Box 152">
          <a:extLst>
            <a:ext uri="{FF2B5EF4-FFF2-40B4-BE49-F238E27FC236}">
              <a16:creationId xmlns:a16="http://schemas.microsoft.com/office/drawing/2014/main" id="{00000000-0008-0000-0100-00009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3" name="Text Box 153">
          <a:extLst>
            <a:ext uri="{FF2B5EF4-FFF2-40B4-BE49-F238E27FC236}">
              <a16:creationId xmlns:a16="http://schemas.microsoft.com/office/drawing/2014/main" id="{00000000-0008-0000-0100-00009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4" name="Text Box 154">
          <a:extLst>
            <a:ext uri="{FF2B5EF4-FFF2-40B4-BE49-F238E27FC236}">
              <a16:creationId xmlns:a16="http://schemas.microsoft.com/office/drawing/2014/main" id="{00000000-0008-0000-0100-00009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5" name="Text Box 155">
          <a:extLst>
            <a:ext uri="{FF2B5EF4-FFF2-40B4-BE49-F238E27FC236}">
              <a16:creationId xmlns:a16="http://schemas.microsoft.com/office/drawing/2014/main" id="{00000000-0008-0000-0100-00009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6" name="Text Box 156">
          <a:extLst>
            <a:ext uri="{FF2B5EF4-FFF2-40B4-BE49-F238E27FC236}">
              <a16:creationId xmlns:a16="http://schemas.microsoft.com/office/drawing/2014/main" id="{00000000-0008-0000-0100-00009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7" name="Text Box 157">
          <a:extLst>
            <a:ext uri="{FF2B5EF4-FFF2-40B4-BE49-F238E27FC236}">
              <a16:creationId xmlns:a16="http://schemas.microsoft.com/office/drawing/2014/main" id="{00000000-0008-0000-0100-00009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8" name="Text Box 158">
          <a:extLst>
            <a:ext uri="{FF2B5EF4-FFF2-40B4-BE49-F238E27FC236}">
              <a16:creationId xmlns:a16="http://schemas.microsoft.com/office/drawing/2014/main" id="{00000000-0008-0000-0100-00009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59" name="Text Box 159">
          <a:extLst>
            <a:ext uri="{FF2B5EF4-FFF2-40B4-BE49-F238E27FC236}">
              <a16:creationId xmlns:a16="http://schemas.microsoft.com/office/drawing/2014/main" id="{00000000-0008-0000-0100-00009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0" name="Text Box 160">
          <a:extLst>
            <a:ext uri="{FF2B5EF4-FFF2-40B4-BE49-F238E27FC236}">
              <a16:creationId xmlns:a16="http://schemas.microsoft.com/office/drawing/2014/main" id="{00000000-0008-0000-0100-0000A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1" name="Text Box 161">
          <a:extLst>
            <a:ext uri="{FF2B5EF4-FFF2-40B4-BE49-F238E27FC236}">
              <a16:creationId xmlns:a16="http://schemas.microsoft.com/office/drawing/2014/main" id="{00000000-0008-0000-0100-0000A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2" name="Text Box 162">
          <a:extLst>
            <a:ext uri="{FF2B5EF4-FFF2-40B4-BE49-F238E27FC236}">
              <a16:creationId xmlns:a16="http://schemas.microsoft.com/office/drawing/2014/main" id="{00000000-0008-0000-0100-0000A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3" name="Text Box 163">
          <a:extLst>
            <a:ext uri="{FF2B5EF4-FFF2-40B4-BE49-F238E27FC236}">
              <a16:creationId xmlns:a16="http://schemas.microsoft.com/office/drawing/2014/main" id="{00000000-0008-0000-0100-0000A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4" name="Text Box 164">
          <a:extLst>
            <a:ext uri="{FF2B5EF4-FFF2-40B4-BE49-F238E27FC236}">
              <a16:creationId xmlns:a16="http://schemas.microsoft.com/office/drawing/2014/main" id="{00000000-0008-0000-0100-0000A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5" name="Text Box 165">
          <a:extLst>
            <a:ext uri="{FF2B5EF4-FFF2-40B4-BE49-F238E27FC236}">
              <a16:creationId xmlns:a16="http://schemas.microsoft.com/office/drawing/2014/main" id="{00000000-0008-0000-0100-0000A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6" name="Text Box 166">
          <a:extLst>
            <a:ext uri="{FF2B5EF4-FFF2-40B4-BE49-F238E27FC236}">
              <a16:creationId xmlns:a16="http://schemas.microsoft.com/office/drawing/2014/main" id="{00000000-0008-0000-0100-0000A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7" name="Text Box 167">
          <a:extLst>
            <a:ext uri="{FF2B5EF4-FFF2-40B4-BE49-F238E27FC236}">
              <a16:creationId xmlns:a16="http://schemas.microsoft.com/office/drawing/2014/main" id="{00000000-0008-0000-0100-0000A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8" name="Text Box 168">
          <a:extLst>
            <a:ext uri="{FF2B5EF4-FFF2-40B4-BE49-F238E27FC236}">
              <a16:creationId xmlns:a16="http://schemas.microsoft.com/office/drawing/2014/main" id="{00000000-0008-0000-0100-0000A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69" name="Text Box 169">
          <a:extLst>
            <a:ext uri="{FF2B5EF4-FFF2-40B4-BE49-F238E27FC236}">
              <a16:creationId xmlns:a16="http://schemas.microsoft.com/office/drawing/2014/main" id="{00000000-0008-0000-0100-0000A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0" name="Text Box 170">
          <a:extLst>
            <a:ext uri="{FF2B5EF4-FFF2-40B4-BE49-F238E27FC236}">
              <a16:creationId xmlns:a16="http://schemas.microsoft.com/office/drawing/2014/main" id="{00000000-0008-0000-0100-0000A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1" name="Text Box 171">
          <a:extLst>
            <a:ext uri="{FF2B5EF4-FFF2-40B4-BE49-F238E27FC236}">
              <a16:creationId xmlns:a16="http://schemas.microsoft.com/office/drawing/2014/main" id="{00000000-0008-0000-0100-0000A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2" name="Text Box 172">
          <a:extLst>
            <a:ext uri="{FF2B5EF4-FFF2-40B4-BE49-F238E27FC236}">
              <a16:creationId xmlns:a16="http://schemas.microsoft.com/office/drawing/2014/main" id="{00000000-0008-0000-0100-0000A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3" name="Text Box 173">
          <a:extLst>
            <a:ext uri="{FF2B5EF4-FFF2-40B4-BE49-F238E27FC236}">
              <a16:creationId xmlns:a16="http://schemas.microsoft.com/office/drawing/2014/main" id="{00000000-0008-0000-0100-0000A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4" name="Text Box 174">
          <a:extLst>
            <a:ext uri="{FF2B5EF4-FFF2-40B4-BE49-F238E27FC236}">
              <a16:creationId xmlns:a16="http://schemas.microsoft.com/office/drawing/2014/main" id="{00000000-0008-0000-0100-0000A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5" name="Text Box 175">
          <a:extLst>
            <a:ext uri="{FF2B5EF4-FFF2-40B4-BE49-F238E27FC236}">
              <a16:creationId xmlns:a16="http://schemas.microsoft.com/office/drawing/2014/main" id="{00000000-0008-0000-0100-0000A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6" name="Text Box 176">
          <a:extLst>
            <a:ext uri="{FF2B5EF4-FFF2-40B4-BE49-F238E27FC236}">
              <a16:creationId xmlns:a16="http://schemas.microsoft.com/office/drawing/2014/main" id="{00000000-0008-0000-0100-0000B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7" name="Text Box 177">
          <a:extLst>
            <a:ext uri="{FF2B5EF4-FFF2-40B4-BE49-F238E27FC236}">
              <a16:creationId xmlns:a16="http://schemas.microsoft.com/office/drawing/2014/main" id="{00000000-0008-0000-0100-0000B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8" name="Text Box 178">
          <a:extLst>
            <a:ext uri="{FF2B5EF4-FFF2-40B4-BE49-F238E27FC236}">
              <a16:creationId xmlns:a16="http://schemas.microsoft.com/office/drawing/2014/main" id="{00000000-0008-0000-0100-0000B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79" name="Text Box 179">
          <a:extLst>
            <a:ext uri="{FF2B5EF4-FFF2-40B4-BE49-F238E27FC236}">
              <a16:creationId xmlns:a16="http://schemas.microsoft.com/office/drawing/2014/main" id="{00000000-0008-0000-0100-0000B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0" name="Text Box 180">
          <a:extLst>
            <a:ext uri="{FF2B5EF4-FFF2-40B4-BE49-F238E27FC236}">
              <a16:creationId xmlns:a16="http://schemas.microsoft.com/office/drawing/2014/main" id="{00000000-0008-0000-0100-0000B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1" name="Text Box 181">
          <a:extLst>
            <a:ext uri="{FF2B5EF4-FFF2-40B4-BE49-F238E27FC236}">
              <a16:creationId xmlns:a16="http://schemas.microsoft.com/office/drawing/2014/main" id="{00000000-0008-0000-0100-0000B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2" name="Text Box 182">
          <a:extLst>
            <a:ext uri="{FF2B5EF4-FFF2-40B4-BE49-F238E27FC236}">
              <a16:creationId xmlns:a16="http://schemas.microsoft.com/office/drawing/2014/main" id="{00000000-0008-0000-0100-0000B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3" name="Text Box 183">
          <a:extLst>
            <a:ext uri="{FF2B5EF4-FFF2-40B4-BE49-F238E27FC236}">
              <a16:creationId xmlns:a16="http://schemas.microsoft.com/office/drawing/2014/main" id="{00000000-0008-0000-0100-0000B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4" name="Text Box 184">
          <a:extLst>
            <a:ext uri="{FF2B5EF4-FFF2-40B4-BE49-F238E27FC236}">
              <a16:creationId xmlns:a16="http://schemas.microsoft.com/office/drawing/2014/main" id="{00000000-0008-0000-0100-0000B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5" name="Text Box 185">
          <a:extLst>
            <a:ext uri="{FF2B5EF4-FFF2-40B4-BE49-F238E27FC236}">
              <a16:creationId xmlns:a16="http://schemas.microsoft.com/office/drawing/2014/main" id="{00000000-0008-0000-0100-0000B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6" name="Text Box 186">
          <a:extLst>
            <a:ext uri="{FF2B5EF4-FFF2-40B4-BE49-F238E27FC236}">
              <a16:creationId xmlns:a16="http://schemas.microsoft.com/office/drawing/2014/main" id="{00000000-0008-0000-0100-0000B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7" name="Text Box 187">
          <a:extLst>
            <a:ext uri="{FF2B5EF4-FFF2-40B4-BE49-F238E27FC236}">
              <a16:creationId xmlns:a16="http://schemas.microsoft.com/office/drawing/2014/main" id="{00000000-0008-0000-0100-0000B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8" name="Text Box 188">
          <a:extLst>
            <a:ext uri="{FF2B5EF4-FFF2-40B4-BE49-F238E27FC236}">
              <a16:creationId xmlns:a16="http://schemas.microsoft.com/office/drawing/2014/main" id="{00000000-0008-0000-0100-0000B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89" name="Text Box 189">
          <a:extLst>
            <a:ext uri="{FF2B5EF4-FFF2-40B4-BE49-F238E27FC236}">
              <a16:creationId xmlns:a16="http://schemas.microsoft.com/office/drawing/2014/main" id="{00000000-0008-0000-0100-0000B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0" name="Text Box 190">
          <a:extLst>
            <a:ext uri="{FF2B5EF4-FFF2-40B4-BE49-F238E27FC236}">
              <a16:creationId xmlns:a16="http://schemas.microsoft.com/office/drawing/2014/main" id="{00000000-0008-0000-0100-0000B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1" name="Text Box 191">
          <a:extLst>
            <a:ext uri="{FF2B5EF4-FFF2-40B4-BE49-F238E27FC236}">
              <a16:creationId xmlns:a16="http://schemas.microsoft.com/office/drawing/2014/main" id="{00000000-0008-0000-0100-0000B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2" name="Text Box 192">
          <a:extLst>
            <a:ext uri="{FF2B5EF4-FFF2-40B4-BE49-F238E27FC236}">
              <a16:creationId xmlns:a16="http://schemas.microsoft.com/office/drawing/2014/main" id="{00000000-0008-0000-0100-0000C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3" name="Text Box 193">
          <a:extLst>
            <a:ext uri="{FF2B5EF4-FFF2-40B4-BE49-F238E27FC236}">
              <a16:creationId xmlns:a16="http://schemas.microsoft.com/office/drawing/2014/main" id="{00000000-0008-0000-0100-0000C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4" name="Text Box 194">
          <a:extLst>
            <a:ext uri="{FF2B5EF4-FFF2-40B4-BE49-F238E27FC236}">
              <a16:creationId xmlns:a16="http://schemas.microsoft.com/office/drawing/2014/main" id="{00000000-0008-0000-0100-0000C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5" name="Text Box 195">
          <a:extLst>
            <a:ext uri="{FF2B5EF4-FFF2-40B4-BE49-F238E27FC236}">
              <a16:creationId xmlns:a16="http://schemas.microsoft.com/office/drawing/2014/main" id="{00000000-0008-0000-0100-0000C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6" name="Text Box 196">
          <a:extLst>
            <a:ext uri="{FF2B5EF4-FFF2-40B4-BE49-F238E27FC236}">
              <a16:creationId xmlns:a16="http://schemas.microsoft.com/office/drawing/2014/main" id="{00000000-0008-0000-0100-0000C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7" name="Text Box 197">
          <a:extLst>
            <a:ext uri="{FF2B5EF4-FFF2-40B4-BE49-F238E27FC236}">
              <a16:creationId xmlns:a16="http://schemas.microsoft.com/office/drawing/2014/main" id="{00000000-0008-0000-0100-0000C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8" name="Text Box 198">
          <a:extLst>
            <a:ext uri="{FF2B5EF4-FFF2-40B4-BE49-F238E27FC236}">
              <a16:creationId xmlns:a16="http://schemas.microsoft.com/office/drawing/2014/main" id="{00000000-0008-0000-0100-0000C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199" name="Text Box 199">
          <a:extLst>
            <a:ext uri="{FF2B5EF4-FFF2-40B4-BE49-F238E27FC236}">
              <a16:creationId xmlns:a16="http://schemas.microsoft.com/office/drawing/2014/main" id="{00000000-0008-0000-0100-0000C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0" name="Text Box 200">
          <a:extLst>
            <a:ext uri="{FF2B5EF4-FFF2-40B4-BE49-F238E27FC236}">
              <a16:creationId xmlns:a16="http://schemas.microsoft.com/office/drawing/2014/main" id="{00000000-0008-0000-0100-0000C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1" name="Text Box 201">
          <a:extLst>
            <a:ext uri="{FF2B5EF4-FFF2-40B4-BE49-F238E27FC236}">
              <a16:creationId xmlns:a16="http://schemas.microsoft.com/office/drawing/2014/main" id="{00000000-0008-0000-0100-0000C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2" name="Text Box 202">
          <a:extLst>
            <a:ext uri="{FF2B5EF4-FFF2-40B4-BE49-F238E27FC236}">
              <a16:creationId xmlns:a16="http://schemas.microsoft.com/office/drawing/2014/main" id="{00000000-0008-0000-0100-0000C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3" name="Text Box 203">
          <a:extLst>
            <a:ext uri="{FF2B5EF4-FFF2-40B4-BE49-F238E27FC236}">
              <a16:creationId xmlns:a16="http://schemas.microsoft.com/office/drawing/2014/main" id="{00000000-0008-0000-0100-0000C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4" name="Text Box 204">
          <a:extLst>
            <a:ext uri="{FF2B5EF4-FFF2-40B4-BE49-F238E27FC236}">
              <a16:creationId xmlns:a16="http://schemas.microsoft.com/office/drawing/2014/main" id="{00000000-0008-0000-0100-0000C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5" name="Text Box 205">
          <a:extLst>
            <a:ext uri="{FF2B5EF4-FFF2-40B4-BE49-F238E27FC236}">
              <a16:creationId xmlns:a16="http://schemas.microsoft.com/office/drawing/2014/main" id="{00000000-0008-0000-0100-0000C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6" name="Text Box 206">
          <a:extLst>
            <a:ext uri="{FF2B5EF4-FFF2-40B4-BE49-F238E27FC236}">
              <a16:creationId xmlns:a16="http://schemas.microsoft.com/office/drawing/2014/main" id="{00000000-0008-0000-0100-0000C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7" name="Text Box 207">
          <a:extLst>
            <a:ext uri="{FF2B5EF4-FFF2-40B4-BE49-F238E27FC236}">
              <a16:creationId xmlns:a16="http://schemas.microsoft.com/office/drawing/2014/main" id="{00000000-0008-0000-0100-0000C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8" name="Text Box 208">
          <a:extLst>
            <a:ext uri="{FF2B5EF4-FFF2-40B4-BE49-F238E27FC236}">
              <a16:creationId xmlns:a16="http://schemas.microsoft.com/office/drawing/2014/main" id="{00000000-0008-0000-0100-0000D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09" name="Text Box 209">
          <a:extLst>
            <a:ext uri="{FF2B5EF4-FFF2-40B4-BE49-F238E27FC236}">
              <a16:creationId xmlns:a16="http://schemas.microsoft.com/office/drawing/2014/main" id="{00000000-0008-0000-0100-0000D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0" name="Text Box 210">
          <a:extLst>
            <a:ext uri="{FF2B5EF4-FFF2-40B4-BE49-F238E27FC236}">
              <a16:creationId xmlns:a16="http://schemas.microsoft.com/office/drawing/2014/main" id="{00000000-0008-0000-0100-0000D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1" name="Text Box 211">
          <a:extLst>
            <a:ext uri="{FF2B5EF4-FFF2-40B4-BE49-F238E27FC236}">
              <a16:creationId xmlns:a16="http://schemas.microsoft.com/office/drawing/2014/main" id="{00000000-0008-0000-0100-0000D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2" name="Text Box 212">
          <a:extLst>
            <a:ext uri="{FF2B5EF4-FFF2-40B4-BE49-F238E27FC236}">
              <a16:creationId xmlns:a16="http://schemas.microsoft.com/office/drawing/2014/main" id="{00000000-0008-0000-0100-0000D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3" name="Text Box 213">
          <a:extLst>
            <a:ext uri="{FF2B5EF4-FFF2-40B4-BE49-F238E27FC236}">
              <a16:creationId xmlns:a16="http://schemas.microsoft.com/office/drawing/2014/main" id="{00000000-0008-0000-0100-0000D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4" name="Text Box 214">
          <a:extLst>
            <a:ext uri="{FF2B5EF4-FFF2-40B4-BE49-F238E27FC236}">
              <a16:creationId xmlns:a16="http://schemas.microsoft.com/office/drawing/2014/main" id="{00000000-0008-0000-0100-0000D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5" name="Text Box 215">
          <a:extLst>
            <a:ext uri="{FF2B5EF4-FFF2-40B4-BE49-F238E27FC236}">
              <a16:creationId xmlns:a16="http://schemas.microsoft.com/office/drawing/2014/main" id="{00000000-0008-0000-0100-0000D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6" name="Text Box 216">
          <a:extLst>
            <a:ext uri="{FF2B5EF4-FFF2-40B4-BE49-F238E27FC236}">
              <a16:creationId xmlns:a16="http://schemas.microsoft.com/office/drawing/2014/main" id="{00000000-0008-0000-0100-0000D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7" name="Text Box 217">
          <a:extLst>
            <a:ext uri="{FF2B5EF4-FFF2-40B4-BE49-F238E27FC236}">
              <a16:creationId xmlns:a16="http://schemas.microsoft.com/office/drawing/2014/main" id="{00000000-0008-0000-0100-0000D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8" name="Text Box 218">
          <a:extLst>
            <a:ext uri="{FF2B5EF4-FFF2-40B4-BE49-F238E27FC236}">
              <a16:creationId xmlns:a16="http://schemas.microsoft.com/office/drawing/2014/main" id="{00000000-0008-0000-0100-0000D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19" name="Text Box 219">
          <a:extLst>
            <a:ext uri="{FF2B5EF4-FFF2-40B4-BE49-F238E27FC236}">
              <a16:creationId xmlns:a16="http://schemas.microsoft.com/office/drawing/2014/main" id="{00000000-0008-0000-0100-0000D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0" name="Text Box 220">
          <a:extLst>
            <a:ext uri="{FF2B5EF4-FFF2-40B4-BE49-F238E27FC236}">
              <a16:creationId xmlns:a16="http://schemas.microsoft.com/office/drawing/2014/main" id="{00000000-0008-0000-0100-0000D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1" name="Text Box 221">
          <a:extLst>
            <a:ext uri="{FF2B5EF4-FFF2-40B4-BE49-F238E27FC236}">
              <a16:creationId xmlns:a16="http://schemas.microsoft.com/office/drawing/2014/main" id="{00000000-0008-0000-0100-0000D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2" name="Text Box 222">
          <a:extLst>
            <a:ext uri="{FF2B5EF4-FFF2-40B4-BE49-F238E27FC236}">
              <a16:creationId xmlns:a16="http://schemas.microsoft.com/office/drawing/2014/main" id="{00000000-0008-0000-0100-0000D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3" name="Text Box 223">
          <a:extLst>
            <a:ext uri="{FF2B5EF4-FFF2-40B4-BE49-F238E27FC236}">
              <a16:creationId xmlns:a16="http://schemas.microsoft.com/office/drawing/2014/main" id="{00000000-0008-0000-0100-0000D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4" name="Text Box 224">
          <a:extLst>
            <a:ext uri="{FF2B5EF4-FFF2-40B4-BE49-F238E27FC236}">
              <a16:creationId xmlns:a16="http://schemas.microsoft.com/office/drawing/2014/main" id="{00000000-0008-0000-0100-0000E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5" name="Text Box 225">
          <a:extLst>
            <a:ext uri="{FF2B5EF4-FFF2-40B4-BE49-F238E27FC236}">
              <a16:creationId xmlns:a16="http://schemas.microsoft.com/office/drawing/2014/main" id="{00000000-0008-0000-0100-0000E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6" name="Text Box 226">
          <a:extLst>
            <a:ext uri="{FF2B5EF4-FFF2-40B4-BE49-F238E27FC236}">
              <a16:creationId xmlns:a16="http://schemas.microsoft.com/office/drawing/2014/main" id="{00000000-0008-0000-0100-0000E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7" name="Text Box 227">
          <a:extLst>
            <a:ext uri="{FF2B5EF4-FFF2-40B4-BE49-F238E27FC236}">
              <a16:creationId xmlns:a16="http://schemas.microsoft.com/office/drawing/2014/main" id="{00000000-0008-0000-0100-0000E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8" name="Text Box 228">
          <a:extLst>
            <a:ext uri="{FF2B5EF4-FFF2-40B4-BE49-F238E27FC236}">
              <a16:creationId xmlns:a16="http://schemas.microsoft.com/office/drawing/2014/main" id="{00000000-0008-0000-0100-0000E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29" name="Text Box 229">
          <a:extLst>
            <a:ext uri="{FF2B5EF4-FFF2-40B4-BE49-F238E27FC236}">
              <a16:creationId xmlns:a16="http://schemas.microsoft.com/office/drawing/2014/main" id="{00000000-0008-0000-0100-0000E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0" name="Text Box 230">
          <a:extLst>
            <a:ext uri="{FF2B5EF4-FFF2-40B4-BE49-F238E27FC236}">
              <a16:creationId xmlns:a16="http://schemas.microsoft.com/office/drawing/2014/main" id="{00000000-0008-0000-0100-0000E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1" name="Text Box 231">
          <a:extLst>
            <a:ext uri="{FF2B5EF4-FFF2-40B4-BE49-F238E27FC236}">
              <a16:creationId xmlns:a16="http://schemas.microsoft.com/office/drawing/2014/main" id="{00000000-0008-0000-0100-0000E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2" name="Text Box 232">
          <a:extLst>
            <a:ext uri="{FF2B5EF4-FFF2-40B4-BE49-F238E27FC236}">
              <a16:creationId xmlns:a16="http://schemas.microsoft.com/office/drawing/2014/main" id="{00000000-0008-0000-0100-0000E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3" name="Text Box 233">
          <a:extLst>
            <a:ext uri="{FF2B5EF4-FFF2-40B4-BE49-F238E27FC236}">
              <a16:creationId xmlns:a16="http://schemas.microsoft.com/office/drawing/2014/main" id="{00000000-0008-0000-0100-0000E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4" name="Text Box 234">
          <a:extLst>
            <a:ext uri="{FF2B5EF4-FFF2-40B4-BE49-F238E27FC236}">
              <a16:creationId xmlns:a16="http://schemas.microsoft.com/office/drawing/2014/main" id="{00000000-0008-0000-0100-0000E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5" name="Text Box 235">
          <a:extLst>
            <a:ext uri="{FF2B5EF4-FFF2-40B4-BE49-F238E27FC236}">
              <a16:creationId xmlns:a16="http://schemas.microsoft.com/office/drawing/2014/main" id="{00000000-0008-0000-0100-0000E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6" name="Text Box 236">
          <a:extLst>
            <a:ext uri="{FF2B5EF4-FFF2-40B4-BE49-F238E27FC236}">
              <a16:creationId xmlns:a16="http://schemas.microsoft.com/office/drawing/2014/main" id="{00000000-0008-0000-0100-0000E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7" name="Text Box 237">
          <a:extLst>
            <a:ext uri="{FF2B5EF4-FFF2-40B4-BE49-F238E27FC236}">
              <a16:creationId xmlns:a16="http://schemas.microsoft.com/office/drawing/2014/main" id="{00000000-0008-0000-0100-0000E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8" name="Text Box 238">
          <a:extLst>
            <a:ext uri="{FF2B5EF4-FFF2-40B4-BE49-F238E27FC236}">
              <a16:creationId xmlns:a16="http://schemas.microsoft.com/office/drawing/2014/main" id="{00000000-0008-0000-0100-0000E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39" name="Text Box 239">
          <a:extLst>
            <a:ext uri="{FF2B5EF4-FFF2-40B4-BE49-F238E27FC236}">
              <a16:creationId xmlns:a16="http://schemas.microsoft.com/office/drawing/2014/main" id="{00000000-0008-0000-0100-0000E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0" name="Text Box 240">
          <a:extLst>
            <a:ext uri="{FF2B5EF4-FFF2-40B4-BE49-F238E27FC236}">
              <a16:creationId xmlns:a16="http://schemas.microsoft.com/office/drawing/2014/main" id="{00000000-0008-0000-0100-0000F0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1" name="Text Box 241">
          <a:extLst>
            <a:ext uri="{FF2B5EF4-FFF2-40B4-BE49-F238E27FC236}">
              <a16:creationId xmlns:a16="http://schemas.microsoft.com/office/drawing/2014/main" id="{00000000-0008-0000-0100-0000F1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2" name="Text Box 242">
          <a:extLst>
            <a:ext uri="{FF2B5EF4-FFF2-40B4-BE49-F238E27FC236}">
              <a16:creationId xmlns:a16="http://schemas.microsoft.com/office/drawing/2014/main" id="{00000000-0008-0000-0100-0000F2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3" name="Text Box 243">
          <a:extLst>
            <a:ext uri="{FF2B5EF4-FFF2-40B4-BE49-F238E27FC236}">
              <a16:creationId xmlns:a16="http://schemas.microsoft.com/office/drawing/2014/main" id="{00000000-0008-0000-0100-0000F3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4" name="Text Box 244">
          <a:extLst>
            <a:ext uri="{FF2B5EF4-FFF2-40B4-BE49-F238E27FC236}">
              <a16:creationId xmlns:a16="http://schemas.microsoft.com/office/drawing/2014/main" id="{00000000-0008-0000-0100-0000F4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5" name="Text Box 245">
          <a:extLst>
            <a:ext uri="{FF2B5EF4-FFF2-40B4-BE49-F238E27FC236}">
              <a16:creationId xmlns:a16="http://schemas.microsoft.com/office/drawing/2014/main" id="{00000000-0008-0000-0100-0000F5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6" name="Text Box 246">
          <a:extLst>
            <a:ext uri="{FF2B5EF4-FFF2-40B4-BE49-F238E27FC236}">
              <a16:creationId xmlns:a16="http://schemas.microsoft.com/office/drawing/2014/main" id="{00000000-0008-0000-0100-0000F6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7" name="Text Box 247">
          <a:extLst>
            <a:ext uri="{FF2B5EF4-FFF2-40B4-BE49-F238E27FC236}">
              <a16:creationId xmlns:a16="http://schemas.microsoft.com/office/drawing/2014/main" id="{00000000-0008-0000-0100-0000F7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8" name="Text Box 248">
          <a:extLst>
            <a:ext uri="{FF2B5EF4-FFF2-40B4-BE49-F238E27FC236}">
              <a16:creationId xmlns:a16="http://schemas.microsoft.com/office/drawing/2014/main" id="{00000000-0008-0000-0100-0000F8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49" name="Text Box 249">
          <a:extLst>
            <a:ext uri="{FF2B5EF4-FFF2-40B4-BE49-F238E27FC236}">
              <a16:creationId xmlns:a16="http://schemas.microsoft.com/office/drawing/2014/main" id="{00000000-0008-0000-0100-0000F9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0" name="Text Box 250">
          <a:extLst>
            <a:ext uri="{FF2B5EF4-FFF2-40B4-BE49-F238E27FC236}">
              <a16:creationId xmlns:a16="http://schemas.microsoft.com/office/drawing/2014/main" id="{00000000-0008-0000-0100-0000FA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1" name="Text Box 251">
          <a:extLst>
            <a:ext uri="{FF2B5EF4-FFF2-40B4-BE49-F238E27FC236}">
              <a16:creationId xmlns:a16="http://schemas.microsoft.com/office/drawing/2014/main" id="{00000000-0008-0000-0100-0000FB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2" name="Text Box 252">
          <a:extLst>
            <a:ext uri="{FF2B5EF4-FFF2-40B4-BE49-F238E27FC236}">
              <a16:creationId xmlns:a16="http://schemas.microsoft.com/office/drawing/2014/main" id="{00000000-0008-0000-0100-0000FC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3" name="Text Box 253">
          <a:extLst>
            <a:ext uri="{FF2B5EF4-FFF2-40B4-BE49-F238E27FC236}">
              <a16:creationId xmlns:a16="http://schemas.microsoft.com/office/drawing/2014/main" id="{00000000-0008-0000-0100-0000FD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4" name="Text Box 254">
          <a:extLst>
            <a:ext uri="{FF2B5EF4-FFF2-40B4-BE49-F238E27FC236}">
              <a16:creationId xmlns:a16="http://schemas.microsoft.com/office/drawing/2014/main" id="{00000000-0008-0000-0100-0000FE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5" name="Text Box 255">
          <a:extLst>
            <a:ext uri="{FF2B5EF4-FFF2-40B4-BE49-F238E27FC236}">
              <a16:creationId xmlns:a16="http://schemas.microsoft.com/office/drawing/2014/main" id="{00000000-0008-0000-0100-0000FF00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6" name="Text Box 256">
          <a:extLst>
            <a:ext uri="{FF2B5EF4-FFF2-40B4-BE49-F238E27FC236}">
              <a16:creationId xmlns:a16="http://schemas.microsoft.com/office/drawing/2014/main" id="{00000000-0008-0000-0100-000000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7" name="Text Box 257">
          <a:extLst>
            <a:ext uri="{FF2B5EF4-FFF2-40B4-BE49-F238E27FC236}">
              <a16:creationId xmlns:a16="http://schemas.microsoft.com/office/drawing/2014/main" id="{00000000-0008-0000-0100-000001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8" name="Text Box 258">
          <a:extLst>
            <a:ext uri="{FF2B5EF4-FFF2-40B4-BE49-F238E27FC236}">
              <a16:creationId xmlns:a16="http://schemas.microsoft.com/office/drawing/2014/main" id="{00000000-0008-0000-0100-000002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59" name="Text Box 259">
          <a:extLst>
            <a:ext uri="{FF2B5EF4-FFF2-40B4-BE49-F238E27FC236}">
              <a16:creationId xmlns:a16="http://schemas.microsoft.com/office/drawing/2014/main" id="{00000000-0008-0000-0100-000003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0" name="Text Box 260">
          <a:extLst>
            <a:ext uri="{FF2B5EF4-FFF2-40B4-BE49-F238E27FC236}">
              <a16:creationId xmlns:a16="http://schemas.microsoft.com/office/drawing/2014/main" id="{00000000-0008-0000-0100-000004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1" name="Text Box 261">
          <a:extLst>
            <a:ext uri="{FF2B5EF4-FFF2-40B4-BE49-F238E27FC236}">
              <a16:creationId xmlns:a16="http://schemas.microsoft.com/office/drawing/2014/main" id="{00000000-0008-0000-0100-000005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2" name="Text Box 262">
          <a:extLst>
            <a:ext uri="{FF2B5EF4-FFF2-40B4-BE49-F238E27FC236}">
              <a16:creationId xmlns:a16="http://schemas.microsoft.com/office/drawing/2014/main" id="{00000000-0008-0000-0100-000006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3" name="Text Box 263">
          <a:extLst>
            <a:ext uri="{FF2B5EF4-FFF2-40B4-BE49-F238E27FC236}">
              <a16:creationId xmlns:a16="http://schemas.microsoft.com/office/drawing/2014/main" id="{00000000-0008-0000-0100-000007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4" name="Text Box 264">
          <a:extLst>
            <a:ext uri="{FF2B5EF4-FFF2-40B4-BE49-F238E27FC236}">
              <a16:creationId xmlns:a16="http://schemas.microsoft.com/office/drawing/2014/main" id="{00000000-0008-0000-0100-000008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5" name="Text Box 265">
          <a:extLst>
            <a:ext uri="{FF2B5EF4-FFF2-40B4-BE49-F238E27FC236}">
              <a16:creationId xmlns:a16="http://schemas.microsoft.com/office/drawing/2014/main" id="{00000000-0008-0000-0100-000009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6" name="Text Box 266">
          <a:extLst>
            <a:ext uri="{FF2B5EF4-FFF2-40B4-BE49-F238E27FC236}">
              <a16:creationId xmlns:a16="http://schemas.microsoft.com/office/drawing/2014/main" id="{00000000-0008-0000-0100-00000A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7" name="Text Box 267">
          <a:extLst>
            <a:ext uri="{FF2B5EF4-FFF2-40B4-BE49-F238E27FC236}">
              <a16:creationId xmlns:a16="http://schemas.microsoft.com/office/drawing/2014/main" id="{00000000-0008-0000-0100-00000B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8" name="Text Box 268">
          <a:extLst>
            <a:ext uri="{FF2B5EF4-FFF2-40B4-BE49-F238E27FC236}">
              <a16:creationId xmlns:a16="http://schemas.microsoft.com/office/drawing/2014/main" id="{00000000-0008-0000-0100-00000C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69" name="Text Box 269">
          <a:extLst>
            <a:ext uri="{FF2B5EF4-FFF2-40B4-BE49-F238E27FC236}">
              <a16:creationId xmlns:a16="http://schemas.microsoft.com/office/drawing/2014/main" id="{00000000-0008-0000-0100-00000D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0" name="Text Box 270">
          <a:extLst>
            <a:ext uri="{FF2B5EF4-FFF2-40B4-BE49-F238E27FC236}">
              <a16:creationId xmlns:a16="http://schemas.microsoft.com/office/drawing/2014/main" id="{00000000-0008-0000-0100-00000E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1" name="Text Box 271">
          <a:extLst>
            <a:ext uri="{FF2B5EF4-FFF2-40B4-BE49-F238E27FC236}">
              <a16:creationId xmlns:a16="http://schemas.microsoft.com/office/drawing/2014/main" id="{00000000-0008-0000-0100-00000F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2" name="Text Box 272">
          <a:extLst>
            <a:ext uri="{FF2B5EF4-FFF2-40B4-BE49-F238E27FC236}">
              <a16:creationId xmlns:a16="http://schemas.microsoft.com/office/drawing/2014/main" id="{00000000-0008-0000-0100-000010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3" name="Text Box 273">
          <a:extLst>
            <a:ext uri="{FF2B5EF4-FFF2-40B4-BE49-F238E27FC236}">
              <a16:creationId xmlns:a16="http://schemas.microsoft.com/office/drawing/2014/main" id="{00000000-0008-0000-0100-000011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4" name="Text Box 274">
          <a:extLst>
            <a:ext uri="{FF2B5EF4-FFF2-40B4-BE49-F238E27FC236}">
              <a16:creationId xmlns:a16="http://schemas.microsoft.com/office/drawing/2014/main" id="{00000000-0008-0000-0100-000012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5" name="Text Box 275">
          <a:extLst>
            <a:ext uri="{FF2B5EF4-FFF2-40B4-BE49-F238E27FC236}">
              <a16:creationId xmlns:a16="http://schemas.microsoft.com/office/drawing/2014/main" id="{00000000-0008-0000-0100-000013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6" name="Text Box 276">
          <a:extLst>
            <a:ext uri="{FF2B5EF4-FFF2-40B4-BE49-F238E27FC236}">
              <a16:creationId xmlns:a16="http://schemas.microsoft.com/office/drawing/2014/main" id="{00000000-0008-0000-0100-000014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7" name="Text Box 277">
          <a:extLst>
            <a:ext uri="{FF2B5EF4-FFF2-40B4-BE49-F238E27FC236}">
              <a16:creationId xmlns:a16="http://schemas.microsoft.com/office/drawing/2014/main" id="{00000000-0008-0000-0100-000015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8" name="Text Box 278">
          <a:extLst>
            <a:ext uri="{FF2B5EF4-FFF2-40B4-BE49-F238E27FC236}">
              <a16:creationId xmlns:a16="http://schemas.microsoft.com/office/drawing/2014/main" id="{00000000-0008-0000-0100-000016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79" name="Text Box 279">
          <a:extLst>
            <a:ext uri="{FF2B5EF4-FFF2-40B4-BE49-F238E27FC236}">
              <a16:creationId xmlns:a16="http://schemas.microsoft.com/office/drawing/2014/main" id="{00000000-0008-0000-0100-000017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0" name="Text Box 280">
          <a:extLst>
            <a:ext uri="{FF2B5EF4-FFF2-40B4-BE49-F238E27FC236}">
              <a16:creationId xmlns:a16="http://schemas.microsoft.com/office/drawing/2014/main" id="{00000000-0008-0000-0100-000018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1" name="Text Box 281">
          <a:extLst>
            <a:ext uri="{FF2B5EF4-FFF2-40B4-BE49-F238E27FC236}">
              <a16:creationId xmlns:a16="http://schemas.microsoft.com/office/drawing/2014/main" id="{00000000-0008-0000-0100-000019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2" name="Text Box 282">
          <a:extLst>
            <a:ext uri="{FF2B5EF4-FFF2-40B4-BE49-F238E27FC236}">
              <a16:creationId xmlns:a16="http://schemas.microsoft.com/office/drawing/2014/main" id="{00000000-0008-0000-0100-00001A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3" name="Text Box 283">
          <a:extLst>
            <a:ext uri="{FF2B5EF4-FFF2-40B4-BE49-F238E27FC236}">
              <a16:creationId xmlns:a16="http://schemas.microsoft.com/office/drawing/2014/main" id="{00000000-0008-0000-0100-00001B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4" name="Text Box 284">
          <a:extLst>
            <a:ext uri="{FF2B5EF4-FFF2-40B4-BE49-F238E27FC236}">
              <a16:creationId xmlns:a16="http://schemas.microsoft.com/office/drawing/2014/main" id="{00000000-0008-0000-0100-00001C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5" name="Text Box 285">
          <a:extLst>
            <a:ext uri="{FF2B5EF4-FFF2-40B4-BE49-F238E27FC236}">
              <a16:creationId xmlns:a16="http://schemas.microsoft.com/office/drawing/2014/main" id="{00000000-0008-0000-0100-00001D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6" name="Text Box 286">
          <a:extLst>
            <a:ext uri="{FF2B5EF4-FFF2-40B4-BE49-F238E27FC236}">
              <a16:creationId xmlns:a16="http://schemas.microsoft.com/office/drawing/2014/main" id="{00000000-0008-0000-0100-00001E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7" name="Text Box 287">
          <a:extLst>
            <a:ext uri="{FF2B5EF4-FFF2-40B4-BE49-F238E27FC236}">
              <a16:creationId xmlns:a16="http://schemas.microsoft.com/office/drawing/2014/main" id="{00000000-0008-0000-0100-00001F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8" name="Text Box 288">
          <a:extLst>
            <a:ext uri="{FF2B5EF4-FFF2-40B4-BE49-F238E27FC236}">
              <a16:creationId xmlns:a16="http://schemas.microsoft.com/office/drawing/2014/main" id="{00000000-0008-0000-0100-000020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89" name="Text Box 289">
          <a:extLst>
            <a:ext uri="{FF2B5EF4-FFF2-40B4-BE49-F238E27FC236}">
              <a16:creationId xmlns:a16="http://schemas.microsoft.com/office/drawing/2014/main" id="{00000000-0008-0000-0100-000021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0" name="Text Box 290">
          <a:extLst>
            <a:ext uri="{FF2B5EF4-FFF2-40B4-BE49-F238E27FC236}">
              <a16:creationId xmlns:a16="http://schemas.microsoft.com/office/drawing/2014/main" id="{00000000-0008-0000-0100-000022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1" name="Text Box 291">
          <a:extLst>
            <a:ext uri="{FF2B5EF4-FFF2-40B4-BE49-F238E27FC236}">
              <a16:creationId xmlns:a16="http://schemas.microsoft.com/office/drawing/2014/main" id="{00000000-0008-0000-0100-000023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2" name="Text Box 292">
          <a:extLst>
            <a:ext uri="{FF2B5EF4-FFF2-40B4-BE49-F238E27FC236}">
              <a16:creationId xmlns:a16="http://schemas.microsoft.com/office/drawing/2014/main" id="{00000000-0008-0000-0100-000024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3" name="Text Box 293">
          <a:extLst>
            <a:ext uri="{FF2B5EF4-FFF2-40B4-BE49-F238E27FC236}">
              <a16:creationId xmlns:a16="http://schemas.microsoft.com/office/drawing/2014/main" id="{00000000-0008-0000-0100-000025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4" name="Text Box 294">
          <a:extLst>
            <a:ext uri="{FF2B5EF4-FFF2-40B4-BE49-F238E27FC236}">
              <a16:creationId xmlns:a16="http://schemas.microsoft.com/office/drawing/2014/main" id="{00000000-0008-0000-0100-000026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5" name="Text Box 295">
          <a:extLst>
            <a:ext uri="{FF2B5EF4-FFF2-40B4-BE49-F238E27FC236}">
              <a16:creationId xmlns:a16="http://schemas.microsoft.com/office/drawing/2014/main" id="{00000000-0008-0000-0100-000027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6" name="Text Box 296">
          <a:extLst>
            <a:ext uri="{FF2B5EF4-FFF2-40B4-BE49-F238E27FC236}">
              <a16:creationId xmlns:a16="http://schemas.microsoft.com/office/drawing/2014/main" id="{00000000-0008-0000-0100-000028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7" name="Text Box 297">
          <a:extLst>
            <a:ext uri="{FF2B5EF4-FFF2-40B4-BE49-F238E27FC236}">
              <a16:creationId xmlns:a16="http://schemas.microsoft.com/office/drawing/2014/main" id="{00000000-0008-0000-0100-000029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8" name="Text Box 298">
          <a:extLst>
            <a:ext uri="{FF2B5EF4-FFF2-40B4-BE49-F238E27FC236}">
              <a16:creationId xmlns:a16="http://schemas.microsoft.com/office/drawing/2014/main" id="{00000000-0008-0000-0100-00002A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299" name="Text Box 299">
          <a:extLst>
            <a:ext uri="{FF2B5EF4-FFF2-40B4-BE49-F238E27FC236}">
              <a16:creationId xmlns:a16="http://schemas.microsoft.com/office/drawing/2014/main" id="{00000000-0008-0000-0100-00002B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00" name="Text Box 300">
          <a:extLst>
            <a:ext uri="{FF2B5EF4-FFF2-40B4-BE49-F238E27FC236}">
              <a16:creationId xmlns:a16="http://schemas.microsoft.com/office/drawing/2014/main" id="{00000000-0008-0000-0100-00002C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01" name="Text Box 301">
          <a:extLst>
            <a:ext uri="{FF2B5EF4-FFF2-40B4-BE49-F238E27FC236}">
              <a16:creationId xmlns:a16="http://schemas.microsoft.com/office/drawing/2014/main" id="{00000000-0008-0000-0100-00002D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02" name="Text Box 302">
          <a:extLst>
            <a:ext uri="{FF2B5EF4-FFF2-40B4-BE49-F238E27FC236}">
              <a16:creationId xmlns:a16="http://schemas.microsoft.com/office/drawing/2014/main" id="{00000000-0008-0000-0100-00002E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5</xdr:col>
      <xdr:colOff>0</xdr:colOff>
      <xdr:row>0</xdr:row>
      <xdr:rowOff>0</xdr:rowOff>
    </xdr:from>
    <xdr:to>
      <xdr:col>5</xdr:col>
      <xdr:colOff>47625</xdr:colOff>
      <xdr:row>0</xdr:row>
      <xdr:rowOff>180527</xdr:rowOff>
    </xdr:to>
    <xdr:sp macro="" textlink="">
      <xdr:nvSpPr>
        <xdr:cNvPr id="303" name="Text Box 303">
          <a:extLst>
            <a:ext uri="{FF2B5EF4-FFF2-40B4-BE49-F238E27FC236}">
              <a16:creationId xmlns:a16="http://schemas.microsoft.com/office/drawing/2014/main" id="{00000000-0008-0000-0100-00002F010000}"/>
            </a:ext>
          </a:extLst>
        </xdr:cNvPr>
        <xdr:cNvSpPr txBox="1">
          <a:spLocks noChangeArrowheads="1"/>
        </xdr:cNvSpPr>
      </xdr:nvSpPr>
      <xdr:spPr bwMode="auto">
        <a:xfrm>
          <a:off x="7510463"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04" name="Text Box 1">
          <a:extLst>
            <a:ext uri="{FF2B5EF4-FFF2-40B4-BE49-F238E27FC236}">
              <a16:creationId xmlns:a16="http://schemas.microsoft.com/office/drawing/2014/main" id="{00000000-0008-0000-0100-00003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05" name="Text Box 2">
          <a:extLst>
            <a:ext uri="{FF2B5EF4-FFF2-40B4-BE49-F238E27FC236}">
              <a16:creationId xmlns:a16="http://schemas.microsoft.com/office/drawing/2014/main" id="{00000000-0008-0000-0100-00003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06" name="Text Box 3">
          <a:extLst>
            <a:ext uri="{FF2B5EF4-FFF2-40B4-BE49-F238E27FC236}">
              <a16:creationId xmlns:a16="http://schemas.microsoft.com/office/drawing/2014/main" id="{00000000-0008-0000-0100-00003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07" name="Text Box 4">
          <a:extLst>
            <a:ext uri="{FF2B5EF4-FFF2-40B4-BE49-F238E27FC236}">
              <a16:creationId xmlns:a16="http://schemas.microsoft.com/office/drawing/2014/main" id="{00000000-0008-0000-0100-00003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08" name="Text Box 5">
          <a:extLst>
            <a:ext uri="{FF2B5EF4-FFF2-40B4-BE49-F238E27FC236}">
              <a16:creationId xmlns:a16="http://schemas.microsoft.com/office/drawing/2014/main" id="{00000000-0008-0000-0100-00003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09" name="Text Box 6">
          <a:extLst>
            <a:ext uri="{FF2B5EF4-FFF2-40B4-BE49-F238E27FC236}">
              <a16:creationId xmlns:a16="http://schemas.microsoft.com/office/drawing/2014/main" id="{00000000-0008-0000-0100-00003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10" name="Text Box 7">
          <a:extLst>
            <a:ext uri="{FF2B5EF4-FFF2-40B4-BE49-F238E27FC236}">
              <a16:creationId xmlns:a16="http://schemas.microsoft.com/office/drawing/2014/main" id="{00000000-0008-0000-0100-00003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11" name="Text Box 8">
          <a:extLst>
            <a:ext uri="{FF2B5EF4-FFF2-40B4-BE49-F238E27FC236}">
              <a16:creationId xmlns:a16="http://schemas.microsoft.com/office/drawing/2014/main" id="{00000000-0008-0000-0100-00003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12" name="Text Box 9">
          <a:extLst>
            <a:ext uri="{FF2B5EF4-FFF2-40B4-BE49-F238E27FC236}">
              <a16:creationId xmlns:a16="http://schemas.microsoft.com/office/drawing/2014/main" id="{00000000-0008-0000-0100-00003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13" name="Text Box 10">
          <a:extLst>
            <a:ext uri="{FF2B5EF4-FFF2-40B4-BE49-F238E27FC236}">
              <a16:creationId xmlns:a16="http://schemas.microsoft.com/office/drawing/2014/main" id="{00000000-0008-0000-0100-00003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14" name="Text Box 11">
          <a:extLst>
            <a:ext uri="{FF2B5EF4-FFF2-40B4-BE49-F238E27FC236}">
              <a16:creationId xmlns:a16="http://schemas.microsoft.com/office/drawing/2014/main" id="{00000000-0008-0000-0100-00003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15" name="Text Box 12">
          <a:extLst>
            <a:ext uri="{FF2B5EF4-FFF2-40B4-BE49-F238E27FC236}">
              <a16:creationId xmlns:a16="http://schemas.microsoft.com/office/drawing/2014/main" id="{00000000-0008-0000-0100-00003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16" name="Text Box 13">
          <a:extLst>
            <a:ext uri="{FF2B5EF4-FFF2-40B4-BE49-F238E27FC236}">
              <a16:creationId xmlns:a16="http://schemas.microsoft.com/office/drawing/2014/main" id="{00000000-0008-0000-0100-00003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17" name="Text Box 14">
          <a:extLst>
            <a:ext uri="{FF2B5EF4-FFF2-40B4-BE49-F238E27FC236}">
              <a16:creationId xmlns:a16="http://schemas.microsoft.com/office/drawing/2014/main" id="{00000000-0008-0000-0100-00003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18" name="Text Box 15">
          <a:extLst>
            <a:ext uri="{FF2B5EF4-FFF2-40B4-BE49-F238E27FC236}">
              <a16:creationId xmlns:a16="http://schemas.microsoft.com/office/drawing/2014/main" id="{00000000-0008-0000-0100-00003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19" name="Text Box 16">
          <a:extLst>
            <a:ext uri="{FF2B5EF4-FFF2-40B4-BE49-F238E27FC236}">
              <a16:creationId xmlns:a16="http://schemas.microsoft.com/office/drawing/2014/main" id="{00000000-0008-0000-0100-00003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20" name="Text Box 17">
          <a:extLst>
            <a:ext uri="{FF2B5EF4-FFF2-40B4-BE49-F238E27FC236}">
              <a16:creationId xmlns:a16="http://schemas.microsoft.com/office/drawing/2014/main" id="{00000000-0008-0000-0100-00004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21" name="Text Box 18">
          <a:extLst>
            <a:ext uri="{FF2B5EF4-FFF2-40B4-BE49-F238E27FC236}">
              <a16:creationId xmlns:a16="http://schemas.microsoft.com/office/drawing/2014/main" id="{00000000-0008-0000-0100-00004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22" name="Text Box 19">
          <a:extLst>
            <a:ext uri="{FF2B5EF4-FFF2-40B4-BE49-F238E27FC236}">
              <a16:creationId xmlns:a16="http://schemas.microsoft.com/office/drawing/2014/main" id="{00000000-0008-0000-0100-00004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23" name="Text Box 20">
          <a:extLst>
            <a:ext uri="{FF2B5EF4-FFF2-40B4-BE49-F238E27FC236}">
              <a16:creationId xmlns:a16="http://schemas.microsoft.com/office/drawing/2014/main" id="{00000000-0008-0000-0100-00004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24" name="Text Box 21">
          <a:extLst>
            <a:ext uri="{FF2B5EF4-FFF2-40B4-BE49-F238E27FC236}">
              <a16:creationId xmlns:a16="http://schemas.microsoft.com/office/drawing/2014/main" id="{00000000-0008-0000-0100-00004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25" name="Text Box 22">
          <a:extLst>
            <a:ext uri="{FF2B5EF4-FFF2-40B4-BE49-F238E27FC236}">
              <a16:creationId xmlns:a16="http://schemas.microsoft.com/office/drawing/2014/main" id="{00000000-0008-0000-0100-00004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26" name="Text Box 23">
          <a:extLst>
            <a:ext uri="{FF2B5EF4-FFF2-40B4-BE49-F238E27FC236}">
              <a16:creationId xmlns:a16="http://schemas.microsoft.com/office/drawing/2014/main" id="{00000000-0008-0000-0100-00004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27" name="Text Box 24">
          <a:extLst>
            <a:ext uri="{FF2B5EF4-FFF2-40B4-BE49-F238E27FC236}">
              <a16:creationId xmlns:a16="http://schemas.microsoft.com/office/drawing/2014/main" id="{00000000-0008-0000-0100-00004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28" name="Text Box 25">
          <a:extLst>
            <a:ext uri="{FF2B5EF4-FFF2-40B4-BE49-F238E27FC236}">
              <a16:creationId xmlns:a16="http://schemas.microsoft.com/office/drawing/2014/main" id="{00000000-0008-0000-0100-00004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29" name="Text Box 26">
          <a:extLst>
            <a:ext uri="{FF2B5EF4-FFF2-40B4-BE49-F238E27FC236}">
              <a16:creationId xmlns:a16="http://schemas.microsoft.com/office/drawing/2014/main" id="{00000000-0008-0000-0100-00004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30" name="Text Box 27">
          <a:extLst>
            <a:ext uri="{FF2B5EF4-FFF2-40B4-BE49-F238E27FC236}">
              <a16:creationId xmlns:a16="http://schemas.microsoft.com/office/drawing/2014/main" id="{00000000-0008-0000-0100-00004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31" name="Text Box 28">
          <a:extLst>
            <a:ext uri="{FF2B5EF4-FFF2-40B4-BE49-F238E27FC236}">
              <a16:creationId xmlns:a16="http://schemas.microsoft.com/office/drawing/2014/main" id="{00000000-0008-0000-0100-00004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32" name="Text Box 29">
          <a:extLst>
            <a:ext uri="{FF2B5EF4-FFF2-40B4-BE49-F238E27FC236}">
              <a16:creationId xmlns:a16="http://schemas.microsoft.com/office/drawing/2014/main" id="{00000000-0008-0000-0100-00004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33" name="Text Box 30">
          <a:extLst>
            <a:ext uri="{FF2B5EF4-FFF2-40B4-BE49-F238E27FC236}">
              <a16:creationId xmlns:a16="http://schemas.microsoft.com/office/drawing/2014/main" id="{00000000-0008-0000-0100-00004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34" name="Text Box 31">
          <a:extLst>
            <a:ext uri="{FF2B5EF4-FFF2-40B4-BE49-F238E27FC236}">
              <a16:creationId xmlns:a16="http://schemas.microsoft.com/office/drawing/2014/main" id="{00000000-0008-0000-0100-00004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35" name="Text Box 32">
          <a:extLst>
            <a:ext uri="{FF2B5EF4-FFF2-40B4-BE49-F238E27FC236}">
              <a16:creationId xmlns:a16="http://schemas.microsoft.com/office/drawing/2014/main" id="{00000000-0008-0000-0100-00004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36" name="Text Box 33">
          <a:extLst>
            <a:ext uri="{FF2B5EF4-FFF2-40B4-BE49-F238E27FC236}">
              <a16:creationId xmlns:a16="http://schemas.microsoft.com/office/drawing/2014/main" id="{00000000-0008-0000-0100-00005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37" name="Text Box 34">
          <a:extLst>
            <a:ext uri="{FF2B5EF4-FFF2-40B4-BE49-F238E27FC236}">
              <a16:creationId xmlns:a16="http://schemas.microsoft.com/office/drawing/2014/main" id="{00000000-0008-0000-0100-00005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38" name="Text Box 35">
          <a:extLst>
            <a:ext uri="{FF2B5EF4-FFF2-40B4-BE49-F238E27FC236}">
              <a16:creationId xmlns:a16="http://schemas.microsoft.com/office/drawing/2014/main" id="{00000000-0008-0000-0100-00005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39" name="Text Box 36">
          <a:extLst>
            <a:ext uri="{FF2B5EF4-FFF2-40B4-BE49-F238E27FC236}">
              <a16:creationId xmlns:a16="http://schemas.microsoft.com/office/drawing/2014/main" id="{00000000-0008-0000-0100-00005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40" name="Text Box 37">
          <a:extLst>
            <a:ext uri="{FF2B5EF4-FFF2-40B4-BE49-F238E27FC236}">
              <a16:creationId xmlns:a16="http://schemas.microsoft.com/office/drawing/2014/main" id="{00000000-0008-0000-0100-00005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41" name="Text Box 38">
          <a:extLst>
            <a:ext uri="{FF2B5EF4-FFF2-40B4-BE49-F238E27FC236}">
              <a16:creationId xmlns:a16="http://schemas.microsoft.com/office/drawing/2014/main" id="{00000000-0008-0000-0100-00005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42" name="Text Box 39">
          <a:extLst>
            <a:ext uri="{FF2B5EF4-FFF2-40B4-BE49-F238E27FC236}">
              <a16:creationId xmlns:a16="http://schemas.microsoft.com/office/drawing/2014/main" id="{00000000-0008-0000-0100-00005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43" name="Text Box 40">
          <a:extLst>
            <a:ext uri="{FF2B5EF4-FFF2-40B4-BE49-F238E27FC236}">
              <a16:creationId xmlns:a16="http://schemas.microsoft.com/office/drawing/2014/main" id="{00000000-0008-0000-0100-00005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44" name="Text Box 41">
          <a:extLst>
            <a:ext uri="{FF2B5EF4-FFF2-40B4-BE49-F238E27FC236}">
              <a16:creationId xmlns:a16="http://schemas.microsoft.com/office/drawing/2014/main" id="{00000000-0008-0000-0100-00005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45" name="Text Box 42">
          <a:extLst>
            <a:ext uri="{FF2B5EF4-FFF2-40B4-BE49-F238E27FC236}">
              <a16:creationId xmlns:a16="http://schemas.microsoft.com/office/drawing/2014/main" id="{00000000-0008-0000-0100-00005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46" name="Text Box 43">
          <a:extLst>
            <a:ext uri="{FF2B5EF4-FFF2-40B4-BE49-F238E27FC236}">
              <a16:creationId xmlns:a16="http://schemas.microsoft.com/office/drawing/2014/main" id="{00000000-0008-0000-0100-00005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47" name="Text Box 44">
          <a:extLst>
            <a:ext uri="{FF2B5EF4-FFF2-40B4-BE49-F238E27FC236}">
              <a16:creationId xmlns:a16="http://schemas.microsoft.com/office/drawing/2014/main" id="{00000000-0008-0000-0100-00005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48" name="Text Box 45">
          <a:extLst>
            <a:ext uri="{FF2B5EF4-FFF2-40B4-BE49-F238E27FC236}">
              <a16:creationId xmlns:a16="http://schemas.microsoft.com/office/drawing/2014/main" id="{00000000-0008-0000-0100-00005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49" name="Text Box 46">
          <a:extLst>
            <a:ext uri="{FF2B5EF4-FFF2-40B4-BE49-F238E27FC236}">
              <a16:creationId xmlns:a16="http://schemas.microsoft.com/office/drawing/2014/main" id="{00000000-0008-0000-0100-00005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50" name="Text Box 47">
          <a:extLst>
            <a:ext uri="{FF2B5EF4-FFF2-40B4-BE49-F238E27FC236}">
              <a16:creationId xmlns:a16="http://schemas.microsoft.com/office/drawing/2014/main" id="{00000000-0008-0000-0100-00005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51" name="Text Box 48">
          <a:extLst>
            <a:ext uri="{FF2B5EF4-FFF2-40B4-BE49-F238E27FC236}">
              <a16:creationId xmlns:a16="http://schemas.microsoft.com/office/drawing/2014/main" id="{00000000-0008-0000-0100-00005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52" name="Text Box 49">
          <a:extLst>
            <a:ext uri="{FF2B5EF4-FFF2-40B4-BE49-F238E27FC236}">
              <a16:creationId xmlns:a16="http://schemas.microsoft.com/office/drawing/2014/main" id="{00000000-0008-0000-0100-00006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53" name="Text Box 50">
          <a:extLst>
            <a:ext uri="{FF2B5EF4-FFF2-40B4-BE49-F238E27FC236}">
              <a16:creationId xmlns:a16="http://schemas.microsoft.com/office/drawing/2014/main" id="{00000000-0008-0000-0100-00006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54" name="Text Box 51">
          <a:extLst>
            <a:ext uri="{FF2B5EF4-FFF2-40B4-BE49-F238E27FC236}">
              <a16:creationId xmlns:a16="http://schemas.microsoft.com/office/drawing/2014/main" id="{00000000-0008-0000-0100-00006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55" name="Text Box 52">
          <a:extLst>
            <a:ext uri="{FF2B5EF4-FFF2-40B4-BE49-F238E27FC236}">
              <a16:creationId xmlns:a16="http://schemas.microsoft.com/office/drawing/2014/main" id="{00000000-0008-0000-0100-00006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56" name="Text Box 53">
          <a:extLst>
            <a:ext uri="{FF2B5EF4-FFF2-40B4-BE49-F238E27FC236}">
              <a16:creationId xmlns:a16="http://schemas.microsoft.com/office/drawing/2014/main" id="{00000000-0008-0000-0100-00006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57" name="Text Box 54">
          <a:extLst>
            <a:ext uri="{FF2B5EF4-FFF2-40B4-BE49-F238E27FC236}">
              <a16:creationId xmlns:a16="http://schemas.microsoft.com/office/drawing/2014/main" id="{00000000-0008-0000-0100-00006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58" name="Text Box 55">
          <a:extLst>
            <a:ext uri="{FF2B5EF4-FFF2-40B4-BE49-F238E27FC236}">
              <a16:creationId xmlns:a16="http://schemas.microsoft.com/office/drawing/2014/main" id="{00000000-0008-0000-0100-00006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59" name="Text Box 56">
          <a:extLst>
            <a:ext uri="{FF2B5EF4-FFF2-40B4-BE49-F238E27FC236}">
              <a16:creationId xmlns:a16="http://schemas.microsoft.com/office/drawing/2014/main" id="{00000000-0008-0000-0100-00006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60" name="Text Box 57">
          <a:extLst>
            <a:ext uri="{FF2B5EF4-FFF2-40B4-BE49-F238E27FC236}">
              <a16:creationId xmlns:a16="http://schemas.microsoft.com/office/drawing/2014/main" id="{00000000-0008-0000-0100-00006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61" name="Text Box 58">
          <a:extLst>
            <a:ext uri="{FF2B5EF4-FFF2-40B4-BE49-F238E27FC236}">
              <a16:creationId xmlns:a16="http://schemas.microsoft.com/office/drawing/2014/main" id="{00000000-0008-0000-0100-00006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62" name="Text Box 59">
          <a:extLst>
            <a:ext uri="{FF2B5EF4-FFF2-40B4-BE49-F238E27FC236}">
              <a16:creationId xmlns:a16="http://schemas.microsoft.com/office/drawing/2014/main" id="{00000000-0008-0000-0100-00006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63" name="Text Box 60">
          <a:extLst>
            <a:ext uri="{FF2B5EF4-FFF2-40B4-BE49-F238E27FC236}">
              <a16:creationId xmlns:a16="http://schemas.microsoft.com/office/drawing/2014/main" id="{00000000-0008-0000-0100-00006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64" name="Text Box 61">
          <a:extLst>
            <a:ext uri="{FF2B5EF4-FFF2-40B4-BE49-F238E27FC236}">
              <a16:creationId xmlns:a16="http://schemas.microsoft.com/office/drawing/2014/main" id="{00000000-0008-0000-0100-00006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65" name="Text Box 62">
          <a:extLst>
            <a:ext uri="{FF2B5EF4-FFF2-40B4-BE49-F238E27FC236}">
              <a16:creationId xmlns:a16="http://schemas.microsoft.com/office/drawing/2014/main" id="{00000000-0008-0000-0100-00006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66" name="Text Box 63">
          <a:extLst>
            <a:ext uri="{FF2B5EF4-FFF2-40B4-BE49-F238E27FC236}">
              <a16:creationId xmlns:a16="http://schemas.microsoft.com/office/drawing/2014/main" id="{00000000-0008-0000-0100-00006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67" name="Text Box 64">
          <a:extLst>
            <a:ext uri="{FF2B5EF4-FFF2-40B4-BE49-F238E27FC236}">
              <a16:creationId xmlns:a16="http://schemas.microsoft.com/office/drawing/2014/main" id="{00000000-0008-0000-0100-00006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68" name="Text Box 65">
          <a:extLst>
            <a:ext uri="{FF2B5EF4-FFF2-40B4-BE49-F238E27FC236}">
              <a16:creationId xmlns:a16="http://schemas.microsoft.com/office/drawing/2014/main" id="{00000000-0008-0000-0100-00007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69" name="Text Box 66">
          <a:extLst>
            <a:ext uri="{FF2B5EF4-FFF2-40B4-BE49-F238E27FC236}">
              <a16:creationId xmlns:a16="http://schemas.microsoft.com/office/drawing/2014/main" id="{00000000-0008-0000-0100-00007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70" name="Text Box 67">
          <a:extLst>
            <a:ext uri="{FF2B5EF4-FFF2-40B4-BE49-F238E27FC236}">
              <a16:creationId xmlns:a16="http://schemas.microsoft.com/office/drawing/2014/main" id="{00000000-0008-0000-0100-00007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71" name="Text Box 68">
          <a:extLst>
            <a:ext uri="{FF2B5EF4-FFF2-40B4-BE49-F238E27FC236}">
              <a16:creationId xmlns:a16="http://schemas.microsoft.com/office/drawing/2014/main" id="{00000000-0008-0000-0100-00007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72" name="Text Box 69">
          <a:extLst>
            <a:ext uri="{FF2B5EF4-FFF2-40B4-BE49-F238E27FC236}">
              <a16:creationId xmlns:a16="http://schemas.microsoft.com/office/drawing/2014/main" id="{00000000-0008-0000-0100-00007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73" name="Text Box 70">
          <a:extLst>
            <a:ext uri="{FF2B5EF4-FFF2-40B4-BE49-F238E27FC236}">
              <a16:creationId xmlns:a16="http://schemas.microsoft.com/office/drawing/2014/main" id="{00000000-0008-0000-0100-00007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74" name="Text Box 71">
          <a:extLst>
            <a:ext uri="{FF2B5EF4-FFF2-40B4-BE49-F238E27FC236}">
              <a16:creationId xmlns:a16="http://schemas.microsoft.com/office/drawing/2014/main" id="{00000000-0008-0000-0100-00007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75" name="Text Box 72">
          <a:extLst>
            <a:ext uri="{FF2B5EF4-FFF2-40B4-BE49-F238E27FC236}">
              <a16:creationId xmlns:a16="http://schemas.microsoft.com/office/drawing/2014/main" id="{00000000-0008-0000-0100-00007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76" name="Text Box 73">
          <a:extLst>
            <a:ext uri="{FF2B5EF4-FFF2-40B4-BE49-F238E27FC236}">
              <a16:creationId xmlns:a16="http://schemas.microsoft.com/office/drawing/2014/main" id="{00000000-0008-0000-0100-00007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77" name="Text Box 74">
          <a:extLst>
            <a:ext uri="{FF2B5EF4-FFF2-40B4-BE49-F238E27FC236}">
              <a16:creationId xmlns:a16="http://schemas.microsoft.com/office/drawing/2014/main" id="{00000000-0008-0000-0100-00007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78" name="Text Box 75">
          <a:extLst>
            <a:ext uri="{FF2B5EF4-FFF2-40B4-BE49-F238E27FC236}">
              <a16:creationId xmlns:a16="http://schemas.microsoft.com/office/drawing/2014/main" id="{00000000-0008-0000-0100-00007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79" name="Text Box 76">
          <a:extLst>
            <a:ext uri="{FF2B5EF4-FFF2-40B4-BE49-F238E27FC236}">
              <a16:creationId xmlns:a16="http://schemas.microsoft.com/office/drawing/2014/main" id="{00000000-0008-0000-0100-00007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80" name="Text Box 77">
          <a:extLst>
            <a:ext uri="{FF2B5EF4-FFF2-40B4-BE49-F238E27FC236}">
              <a16:creationId xmlns:a16="http://schemas.microsoft.com/office/drawing/2014/main" id="{00000000-0008-0000-0100-00007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81" name="Text Box 78">
          <a:extLst>
            <a:ext uri="{FF2B5EF4-FFF2-40B4-BE49-F238E27FC236}">
              <a16:creationId xmlns:a16="http://schemas.microsoft.com/office/drawing/2014/main" id="{00000000-0008-0000-0100-00007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82" name="Text Box 79">
          <a:extLst>
            <a:ext uri="{FF2B5EF4-FFF2-40B4-BE49-F238E27FC236}">
              <a16:creationId xmlns:a16="http://schemas.microsoft.com/office/drawing/2014/main" id="{00000000-0008-0000-0100-00007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83" name="Text Box 80">
          <a:extLst>
            <a:ext uri="{FF2B5EF4-FFF2-40B4-BE49-F238E27FC236}">
              <a16:creationId xmlns:a16="http://schemas.microsoft.com/office/drawing/2014/main" id="{00000000-0008-0000-0100-00007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84" name="Text Box 81">
          <a:extLst>
            <a:ext uri="{FF2B5EF4-FFF2-40B4-BE49-F238E27FC236}">
              <a16:creationId xmlns:a16="http://schemas.microsoft.com/office/drawing/2014/main" id="{00000000-0008-0000-0100-00008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85" name="Text Box 82">
          <a:extLst>
            <a:ext uri="{FF2B5EF4-FFF2-40B4-BE49-F238E27FC236}">
              <a16:creationId xmlns:a16="http://schemas.microsoft.com/office/drawing/2014/main" id="{00000000-0008-0000-0100-00008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86" name="Text Box 83">
          <a:extLst>
            <a:ext uri="{FF2B5EF4-FFF2-40B4-BE49-F238E27FC236}">
              <a16:creationId xmlns:a16="http://schemas.microsoft.com/office/drawing/2014/main" id="{00000000-0008-0000-0100-00008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87" name="Text Box 84">
          <a:extLst>
            <a:ext uri="{FF2B5EF4-FFF2-40B4-BE49-F238E27FC236}">
              <a16:creationId xmlns:a16="http://schemas.microsoft.com/office/drawing/2014/main" id="{00000000-0008-0000-0100-00008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88" name="Text Box 85">
          <a:extLst>
            <a:ext uri="{FF2B5EF4-FFF2-40B4-BE49-F238E27FC236}">
              <a16:creationId xmlns:a16="http://schemas.microsoft.com/office/drawing/2014/main" id="{00000000-0008-0000-0100-00008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89" name="Text Box 86">
          <a:extLst>
            <a:ext uri="{FF2B5EF4-FFF2-40B4-BE49-F238E27FC236}">
              <a16:creationId xmlns:a16="http://schemas.microsoft.com/office/drawing/2014/main" id="{00000000-0008-0000-0100-00008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90" name="Text Box 87">
          <a:extLst>
            <a:ext uri="{FF2B5EF4-FFF2-40B4-BE49-F238E27FC236}">
              <a16:creationId xmlns:a16="http://schemas.microsoft.com/office/drawing/2014/main" id="{00000000-0008-0000-0100-00008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91" name="Text Box 88">
          <a:extLst>
            <a:ext uri="{FF2B5EF4-FFF2-40B4-BE49-F238E27FC236}">
              <a16:creationId xmlns:a16="http://schemas.microsoft.com/office/drawing/2014/main" id="{00000000-0008-0000-0100-00008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92" name="Text Box 89">
          <a:extLst>
            <a:ext uri="{FF2B5EF4-FFF2-40B4-BE49-F238E27FC236}">
              <a16:creationId xmlns:a16="http://schemas.microsoft.com/office/drawing/2014/main" id="{00000000-0008-0000-0100-00008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93" name="Text Box 90">
          <a:extLst>
            <a:ext uri="{FF2B5EF4-FFF2-40B4-BE49-F238E27FC236}">
              <a16:creationId xmlns:a16="http://schemas.microsoft.com/office/drawing/2014/main" id="{00000000-0008-0000-0100-00008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94" name="Text Box 91">
          <a:extLst>
            <a:ext uri="{FF2B5EF4-FFF2-40B4-BE49-F238E27FC236}">
              <a16:creationId xmlns:a16="http://schemas.microsoft.com/office/drawing/2014/main" id="{00000000-0008-0000-0100-00008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95" name="Text Box 92">
          <a:extLst>
            <a:ext uri="{FF2B5EF4-FFF2-40B4-BE49-F238E27FC236}">
              <a16:creationId xmlns:a16="http://schemas.microsoft.com/office/drawing/2014/main" id="{00000000-0008-0000-0100-00008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96" name="Text Box 93">
          <a:extLst>
            <a:ext uri="{FF2B5EF4-FFF2-40B4-BE49-F238E27FC236}">
              <a16:creationId xmlns:a16="http://schemas.microsoft.com/office/drawing/2014/main" id="{00000000-0008-0000-0100-00008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97" name="Text Box 94">
          <a:extLst>
            <a:ext uri="{FF2B5EF4-FFF2-40B4-BE49-F238E27FC236}">
              <a16:creationId xmlns:a16="http://schemas.microsoft.com/office/drawing/2014/main" id="{00000000-0008-0000-0100-00008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98" name="Text Box 95">
          <a:extLst>
            <a:ext uri="{FF2B5EF4-FFF2-40B4-BE49-F238E27FC236}">
              <a16:creationId xmlns:a16="http://schemas.microsoft.com/office/drawing/2014/main" id="{00000000-0008-0000-0100-00008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399" name="Text Box 96">
          <a:extLst>
            <a:ext uri="{FF2B5EF4-FFF2-40B4-BE49-F238E27FC236}">
              <a16:creationId xmlns:a16="http://schemas.microsoft.com/office/drawing/2014/main" id="{00000000-0008-0000-0100-00008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00" name="Text Box 97">
          <a:extLst>
            <a:ext uri="{FF2B5EF4-FFF2-40B4-BE49-F238E27FC236}">
              <a16:creationId xmlns:a16="http://schemas.microsoft.com/office/drawing/2014/main" id="{00000000-0008-0000-0100-00009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01" name="Text Box 98">
          <a:extLst>
            <a:ext uri="{FF2B5EF4-FFF2-40B4-BE49-F238E27FC236}">
              <a16:creationId xmlns:a16="http://schemas.microsoft.com/office/drawing/2014/main" id="{00000000-0008-0000-0100-00009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02" name="Text Box 99">
          <a:extLst>
            <a:ext uri="{FF2B5EF4-FFF2-40B4-BE49-F238E27FC236}">
              <a16:creationId xmlns:a16="http://schemas.microsoft.com/office/drawing/2014/main" id="{00000000-0008-0000-0100-00009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03" name="Text Box 100">
          <a:extLst>
            <a:ext uri="{FF2B5EF4-FFF2-40B4-BE49-F238E27FC236}">
              <a16:creationId xmlns:a16="http://schemas.microsoft.com/office/drawing/2014/main" id="{00000000-0008-0000-0100-00009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04" name="Text Box 101">
          <a:extLst>
            <a:ext uri="{FF2B5EF4-FFF2-40B4-BE49-F238E27FC236}">
              <a16:creationId xmlns:a16="http://schemas.microsoft.com/office/drawing/2014/main" id="{00000000-0008-0000-0100-00009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05" name="Text Box 102">
          <a:extLst>
            <a:ext uri="{FF2B5EF4-FFF2-40B4-BE49-F238E27FC236}">
              <a16:creationId xmlns:a16="http://schemas.microsoft.com/office/drawing/2014/main" id="{00000000-0008-0000-0100-00009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06" name="Text Box 103">
          <a:extLst>
            <a:ext uri="{FF2B5EF4-FFF2-40B4-BE49-F238E27FC236}">
              <a16:creationId xmlns:a16="http://schemas.microsoft.com/office/drawing/2014/main" id="{00000000-0008-0000-0100-00009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07" name="Text Box 104">
          <a:extLst>
            <a:ext uri="{FF2B5EF4-FFF2-40B4-BE49-F238E27FC236}">
              <a16:creationId xmlns:a16="http://schemas.microsoft.com/office/drawing/2014/main" id="{00000000-0008-0000-0100-00009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08" name="Text Box 105">
          <a:extLst>
            <a:ext uri="{FF2B5EF4-FFF2-40B4-BE49-F238E27FC236}">
              <a16:creationId xmlns:a16="http://schemas.microsoft.com/office/drawing/2014/main" id="{00000000-0008-0000-0100-00009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09" name="Text Box 106">
          <a:extLst>
            <a:ext uri="{FF2B5EF4-FFF2-40B4-BE49-F238E27FC236}">
              <a16:creationId xmlns:a16="http://schemas.microsoft.com/office/drawing/2014/main" id="{00000000-0008-0000-0100-00009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10" name="Text Box 107">
          <a:extLst>
            <a:ext uri="{FF2B5EF4-FFF2-40B4-BE49-F238E27FC236}">
              <a16:creationId xmlns:a16="http://schemas.microsoft.com/office/drawing/2014/main" id="{00000000-0008-0000-0100-00009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11" name="Text Box 108">
          <a:extLst>
            <a:ext uri="{FF2B5EF4-FFF2-40B4-BE49-F238E27FC236}">
              <a16:creationId xmlns:a16="http://schemas.microsoft.com/office/drawing/2014/main" id="{00000000-0008-0000-0100-00009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12" name="Text Box 109">
          <a:extLst>
            <a:ext uri="{FF2B5EF4-FFF2-40B4-BE49-F238E27FC236}">
              <a16:creationId xmlns:a16="http://schemas.microsoft.com/office/drawing/2014/main" id="{00000000-0008-0000-0100-00009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13" name="Text Box 110">
          <a:extLst>
            <a:ext uri="{FF2B5EF4-FFF2-40B4-BE49-F238E27FC236}">
              <a16:creationId xmlns:a16="http://schemas.microsoft.com/office/drawing/2014/main" id="{00000000-0008-0000-0100-00009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14" name="Text Box 111">
          <a:extLst>
            <a:ext uri="{FF2B5EF4-FFF2-40B4-BE49-F238E27FC236}">
              <a16:creationId xmlns:a16="http://schemas.microsoft.com/office/drawing/2014/main" id="{00000000-0008-0000-0100-00009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15" name="Text Box 112">
          <a:extLst>
            <a:ext uri="{FF2B5EF4-FFF2-40B4-BE49-F238E27FC236}">
              <a16:creationId xmlns:a16="http://schemas.microsoft.com/office/drawing/2014/main" id="{00000000-0008-0000-0100-00009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16" name="Text Box 113">
          <a:extLst>
            <a:ext uri="{FF2B5EF4-FFF2-40B4-BE49-F238E27FC236}">
              <a16:creationId xmlns:a16="http://schemas.microsoft.com/office/drawing/2014/main" id="{00000000-0008-0000-0100-0000A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17" name="Text Box 114">
          <a:extLst>
            <a:ext uri="{FF2B5EF4-FFF2-40B4-BE49-F238E27FC236}">
              <a16:creationId xmlns:a16="http://schemas.microsoft.com/office/drawing/2014/main" id="{00000000-0008-0000-0100-0000A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18" name="Text Box 115">
          <a:extLst>
            <a:ext uri="{FF2B5EF4-FFF2-40B4-BE49-F238E27FC236}">
              <a16:creationId xmlns:a16="http://schemas.microsoft.com/office/drawing/2014/main" id="{00000000-0008-0000-0100-0000A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19" name="Text Box 116">
          <a:extLst>
            <a:ext uri="{FF2B5EF4-FFF2-40B4-BE49-F238E27FC236}">
              <a16:creationId xmlns:a16="http://schemas.microsoft.com/office/drawing/2014/main" id="{00000000-0008-0000-0100-0000A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20" name="Text Box 117">
          <a:extLst>
            <a:ext uri="{FF2B5EF4-FFF2-40B4-BE49-F238E27FC236}">
              <a16:creationId xmlns:a16="http://schemas.microsoft.com/office/drawing/2014/main" id="{00000000-0008-0000-0100-0000A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21" name="Text Box 118">
          <a:extLst>
            <a:ext uri="{FF2B5EF4-FFF2-40B4-BE49-F238E27FC236}">
              <a16:creationId xmlns:a16="http://schemas.microsoft.com/office/drawing/2014/main" id="{00000000-0008-0000-0100-0000A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22" name="Text Box 119">
          <a:extLst>
            <a:ext uri="{FF2B5EF4-FFF2-40B4-BE49-F238E27FC236}">
              <a16:creationId xmlns:a16="http://schemas.microsoft.com/office/drawing/2014/main" id="{00000000-0008-0000-0100-0000A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23" name="Text Box 120">
          <a:extLst>
            <a:ext uri="{FF2B5EF4-FFF2-40B4-BE49-F238E27FC236}">
              <a16:creationId xmlns:a16="http://schemas.microsoft.com/office/drawing/2014/main" id="{00000000-0008-0000-0100-0000A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24" name="Text Box 121">
          <a:extLst>
            <a:ext uri="{FF2B5EF4-FFF2-40B4-BE49-F238E27FC236}">
              <a16:creationId xmlns:a16="http://schemas.microsoft.com/office/drawing/2014/main" id="{00000000-0008-0000-0100-0000A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25" name="Text Box 122">
          <a:extLst>
            <a:ext uri="{FF2B5EF4-FFF2-40B4-BE49-F238E27FC236}">
              <a16:creationId xmlns:a16="http://schemas.microsoft.com/office/drawing/2014/main" id="{00000000-0008-0000-0100-0000A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26" name="Text Box 123">
          <a:extLst>
            <a:ext uri="{FF2B5EF4-FFF2-40B4-BE49-F238E27FC236}">
              <a16:creationId xmlns:a16="http://schemas.microsoft.com/office/drawing/2014/main" id="{00000000-0008-0000-0100-0000A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27" name="Text Box 124">
          <a:extLst>
            <a:ext uri="{FF2B5EF4-FFF2-40B4-BE49-F238E27FC236}">
              <a16:creationId xmlns:a16="http://schemas.microsoft.com/office/drawing/2014/main" id="{00000000-0008-0000-0100-0000A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28" name="Text Box 125">
          <a:extLst>
            <a:ext uri="{FF2B5EF4-FFF2-40B4-BE49-F238E27FC236}">
              <a16:creationId xmlns:a16="http://schemas.microsoft.com/office/drawing/2014/main" id="{00000000-0008-0000-0100-0000A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29" name="Text Box 126">
          <a:extLst>
            <a:ext uri="{FF2B5EF4-FFF2-40B4-BE49-F238E27FC236}">
              <a16:creationId xmlns:a16="http://schemas.microsoft.com/office/drawing/2014/main" id="{00000000-0008-0000-0100-0000A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30" name="Text Box 127">
          <a:extLst>
            <a:ext uri="{FF2B5EF4-FFF2-40B4-BE49-F238E27FC236}">
              <a16:creationId xmlns:a16="http://schemas.microsoft.com/office/drawing/2014/main" id="{00000000-0008-0000-0100-0000A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31" name="Text Box 128">
          <a:extLst>
            <a:ext uri="{FF2B5EF4-FFF2-40B4-BE49-F238E27FC236}">
              <a16:creationId xmlns:a16="http://schemas.microsoft.com/office/drawing/2014/main" id="{00000000-0008-0000-0100-0000A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32" name="Text Box 129">
          <a:extLst>
            <a:ext uri="{FF2B5EF4-FFF2-40B4-BE49-F238E27FC236}">
              <a16:creationId xmlns:a16="http://schemas.microsoft.com/office/drawing/2014/main" id="{00000000-0008-0000-0100-0000B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33" name="Text Box 130">
          <a:extLst>
            <a:ext uri="{FF2B5EF4-FFF2-40B4-BE49-F238E27FC236}">
              <a16:creationId xmlns:a16="http://schemas.microsoft.com/office/drawing/2014/main" id="{00000000-0008-0000-0100-0000B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34" name="Text Box 131">
          <a:extLst>
            <a:ext uri="{FF2B5EF4-FFF2-40B4-BE49-F238E27FC236}">
              <a16:creationId xmlns:a16="http://schemas.microsoft.com/office/drawing/2014/main" id="{00000000-0008-0000-0100-0000B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35" name="Text Box 132">
          <a:extLst>
            <a:ext uri="{FF2B5EF4-FFF2-40B4-BE49-F238E27FC236}">
              <a16:creationId xmlns:a16="http://schemas.microsoft.com/office/drawing/2014/main" id="{00000000-0008-0000-0100-0000B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36" name="Text Box 133">
          <a:extLst>
            <a:ext uri="{FF2B5EF4-FFF2-40B4-BE49-F238E27FC236}">
              <a16:creationId xmlns:a16="http://schemas.microsoft.com/office/drawing/2014/main" id="{00000000-0008-0000-0100-0000B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37" name="Text Box 134">
          <a:extLst>
            <a:ext uri="{FF2B5EF4-FFF2-40B4-BE49-F238E27FC236}">
              <a16:creationId xmlns:a16="http://schemas.microsoft.com/office/drawing/2014/main" id="{00000000-0008-0000-0100-0000B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38" name="Text Box 135">
          <a:extLst>
            <a:ext uri="{FF2B5EF4-FFF2-40B4-BE49-F238E27FC236}">
              <a16:creationId xmlns:a16="http://schemas.microsoft.com/office/drawing/2014/main" id="{00000000-0008-0000-0100-0000B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39" name="Text Box 136">
          <a:extLst>
            <a:ext uri="{FF2B5EF4-FFF2-40B4-BE49-F238E27FC236}">
              <a16:creationId xmlns:a16="http://schemas.microsoft.com/office/drawing/2014/main" id="{00000000-0008-0000-0100-0000B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40" name="Text Box 137">
          <a:extLst>
            <a:ext uri="{FF2B5EF4-FFF2-40B4-BE49-F238E27FC236}">
              <a16:creationId xmlns:a16="http://schemas.microsoft.com/office/drawing/2014/main" id="{00000000-0008-0000-0100-0000B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41" name="Text Box 138">
          <a:extLst>
            <a:ext uri="{FF2B5EF4-FFF2-40B4-BE49-F238E27FC236}">
              <a16:creationId xmlns:a16="http://schemas.microsoft.com/office/drawing/2014/main" id="{00000000-0008-0000-0100-0000B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42" name="Text Box 139">
          <a:extLst>
            <a:ext uri="{FF2B5EF4-FFF2-40B4-BE49-F238E27FC236}">
              <a16:creationId xmlns:a16="http://schemas.microsoft.com/office/drawing/2014/main" id="{00000000-0008-0000-0100-0000B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43" name="Text Box 140">
          <a:extLst>
            <a:ext uri="{FF2B5EF4-FFF2-40B4-BE49-F238E27FC236}">
              <a16:creationId xmlns:a16="http://schemas.microsoft.com/office/drawing/2014/main" id="{00000000-0008-0000-0100-0000B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44" name="Text Box 141">
          <a:extLst>
            <a:ext uri="{FF2B5EF4-FFF2-40B4-BE49-F238E27FC236}">
              <a16:creationId xmlns:a16="http://schemas.microsoft.com/office/drawing/2014/main" id="{00000000-0008-0000-0100-0000B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45" name="Text Box 142">
          <a:extLst>
            <a:ext uri="{FF2B5EF4-FFF2-40B4-BE49-F238E27FC236}">
              <a16:creationId xmlns:a16="http://schemas.microsoft.com/office/drawing/2014/main" id="{00000000-0008-0000-0100-0000B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46" name="Text Box 143">
          <a:extLst>
            <a:ext uri="{FF2B5EF4-FFF2-40B4-BE49-F238E27FC236}">
              <a16:creationId xmlns:a16="http://schemas.microsoft.com/office/drawing/2014/main" id="{00000000-0008-0000-0100-0000B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47" name="Text Box 144">
          <a:extLst>
            <a:ext uri="{FF2B5EF4-FFF2-40B4-BE49-F238E27FC236}">
              <a16:creationId xmlns:a16="http://schemas.microsoft.com/office/drawing/2014/main" id="{00000000-0008-0000-0100-0000B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48" name="Text Box 146">
          <a:extLst>
            <a:ext uri="{FF2B5EF4-FFF2-40B4-BE49-F238E27FC236}">
              <a16:creationId xmlns:a16="http://schemas.microsoft.com/office/drawing/2014/main" id="{00000000-0008-0000-0100-0000C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49" name="Text Box 147">
          <a:extLst>
            <a:ext uri="{FF2B5EF4-FFF2-40B4-BE49-F238E27FC236}">
              <a16:creationId xmlns:a16="http://schemas.microsoft.com/office/drawing/2014/main" id="{00000000-0008-0000-0100-0000C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50" name="Text Box 148">
          <a:extLst>
            <a:ext uri="{FF2B5EF4-FFF2-40B4-BE49-F238E27FC236}">
              <a16:creationId xmlns:a16="http://schemas.microsoft.com/office/drawing/2014/main" id="{00000000-0008-0000-0100-0000C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51" name="Text Box 149">
          <a:extLst>
            <a:ext uri="{FF2B5EF4-FFF2-40B4-BE49-F238E27FC236}">
              <a16:creationId xmlns:a16="http://schemas.microsoft.com/office/drawing/2014/main" id="{00000000-0008-0000-0100-0000C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52" name="Text Box 150">
          <a:extLst>
            <a:ext uri="{FF2B5EF4-FFF2-40B4-BE49-F238E27FC236}">
              <a16:creationId xmlns:a16="http://schemas.microsoft.com/office/drawing/2014/main" id="{00000000-0008-0000-0100-0000C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53" name="Text Box 151">
          <a:extLst>
            <a:ext uri="{FF2B5EF4-FFF2-40B4-BE49-F238E27FC236}">
              <a16:creationId xmlns:a16="http://schemas.microsoft.com/office/drawing/2014/main" id="{00000000-0008-0000-0100-0000C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54" name="Text Box 152">
          <a:extLst>
            <a:ext uri="{FF2B5EF4-FFF2-40B4-BE49-F238E27FC236}">
              <a16:creationId xmlns:a16="http://schemas.microsoft.com/office/drawing/2014/main" id="{00000000-0008-0000-0100-0000C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55" name="Text Box 153">
          <a:extLst>
            <a:ext uri="{FF2B5EF4-FFF2-40B4-BE49-F238E27FC236}">
              <a16:creationId xmlns:a16="http://schemas.microsoft.com/office/drawing/2014/main" id="{00000000-0008-0000-0100-0000C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56" name="Text Box 154">
          <a:extLst>
            <a:ext uri="{FF2B5EF4-FFF2-40B4-BE49-F238E27FC236}">
              <a16:creationId xmlns:a16="http://schemas.microsoft.com/office/drawing/2014/main" id="{00000000-0008-0000-0100-0000C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57" name="Text Box 155">
          <a:extLst>
            <a:ext uri="{FF2B5EF4-FFF2-40B4-BE49-F238E27FC236}">
              <a16:creationId xmlns:a16="http://schemas.microsoft.com/office/drawing/2014/main" id="{00000000-0008-0000-0100-0000C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58" name="Text Box 156">
          <a:extLst>
            <a:ext uri="{FF2B5EF4-FFF2-40B4-BE49-F238E27FC236}">
              <a16:creationId xmlns:a16="http://schemas.microsoft.com/office/drawing/2014/main" id="{00000000-0008-0000-0100-0000C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59" name="Text Box 157">
          <a:extLst>
            <a:ext uri="{FF2B5EF4-FFF2-40B4-BE49-F238E27FC236}">
              <a16:creationId xmlns:a16="http://schemas.microsoft.com/office/drawing/2014/main" id="{00000000-0008-0000-0100-0000C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60" name="Text Box 158">
          <a:extLst>
            <a:ext uri="{FF2B5EF4-FFF2-40B4-BE49-F238E27FC236}">
              <a16:creationId xmlns:a16="http://schemas.microsoft.com/office/drawing/2014/main" id="{00000000-0008-0000-0100-0000C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61" name="Text Box 159">
          <a:extLst>
            <a:ext uri="{FF2B5EF4-FFF2-40B4-BE49-F238E27FC236}">
              <a16:creationId xmlns:a16="http://schemas.microsoft.com/office/drawing/2014/main" id="{00000000-0008-0000-0100-0000C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62" name="Text Box 160">
          <a:extLst>
            <a:ext uri="{FF2B5EF4-FFF2-40B4-BE49-F238E27FC236}">
              <a16:creationId xmlns:a16="http://schemas.microsoft.com/office/drawing/2014/main" id="{00000000-0008-0000-0100-0000C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63" name="Text Box 161">
          <a:extLst>
            <a:ext uri="{FF2B5EF4-FFF2-40B4-BE49-F238E27FC236}">
              <a16:creationId xmlns:a16="http://schemas.microsoft.com/office/drawing/2014/main" id="{00000000-0008-0000-0100-0000C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64" name="Text Box 162">
          <a:extLst>
            <a:ext uri="{FF2B5EF4-FFF2-40B4-BE49-F238E27FC236}">
              <a16:creationId xmlns:a16="http://schemas.microsoft.com/office/drawing/2014/main" id="{00000000-0008-0000-0100-0000D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65" name="Text Box 163">
          <a:extLst>
            <a:ext uri="{FF2B5EF4-FFF2-40B4-BE49-F238E27FC236}">
              <a16:creationId xmlns:a16="http://schemas.microsoft.com/office/drawing/2014/main" id="{00000000-0008-0000-0100-0000D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66" name="Text Box 164">
          <a:extLst>
            <a:ext uri="{FF2B5EF4-FFF2-40B4-BE49-F238E27FC236}">
              <a16:creationId xmlns:a16="http://schemas.microsoft.com/office/drawing/2014/main" id="{00000000-0008-0000-0100-0000D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67" name="Text Box 165">
          <a:extLst>
            <a:ext uri="{FF2B5EF4-FFF2-40B4-BE49-F238E27FC236}">
              <a16:creationId xmlns:a16="http://schemas.microsoft.com/office/drawing/2014/main" id="{00000000-0008-0000-0100-0000D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68" name="Text Box 166">
          <a:extLst>
            <a:ext uri="{FF2B5EF4-FFF2-40B4-BE49-F238E27FC236}">
              <a16:creationId xmlns:a16="http://schemas.microsoft.com/office/drawing/2014/main" id="{00000000-0008-0000-0100-0000D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69" name="Text Box 167">
          <a:extLst>
            <a:ext uri="{FF2B5EF4-FFF2-40B4-BE49-F238E27FC236}">
              <a16:creationId xmlns:a16="http://schemas.microsoft.com/office/drawing/2014/main" id="{00000000-0008-0000-0100-0000D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70" name="Text Box 168">
          <a:extLst>
            <a:ext uri="{FF2B5EF4-FFF2-40B4-BE49-F238E27FC236}">
              <a16:creationId xmlns:a16="http://schemas.microsoft.com/office/drawing/2014/main" id="{00000000-0008-0000-0100-0000D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71" name="Text Box 169">
          <a:extLst>
            <a:ext uri="{FF2B5EF4-FFF2-40B4-BE49-F238E27FC236}">
              <a16:creationId xmlns:a16="http://schemas.microsoft.com/office/drawing/2014/main" id="{00000000-0008-0000-0100-0000D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72" name="Text Box 170">
          <a:extLst>
            <a:ext uri="{FF2B5EF4-FFF2-40B4-BE49-F238E27FC236}">
              <a16:creationId xmlns:a16="http://schemas.microsoft.com/office/drawing/2014/main" id="{00000000-0008-0000-0100-0000D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73" name="Text Box 171">
          <a:extLst>
            <a:ext uri="{FF2B5EF4-FFF2-40B4-BE49-F238E27FC236}">
              <a16:creationId xmlns:a16="http://schemas.microsoft.com/office/drawing/2014/main" id="{00000000-0008-0000-0100-0000D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74" name="Text Box 172">
          <a:extLst>
            <a:ext uri="{FF2B5EF4-FFF2-40B4-BE49-F238E27FC236}">
              <a16:creationId xmlns:a16="http://schemas.microsoft.com/office/drawing/2014/main" id="{00000000-0008-0000-0100-0000D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75" name="Text Box 173">
          <a:extLst>
            <a:ext uri="{FF2B5EF4-FFF2-40B4-BE49-F238E27FC236}">
              <a16:creationId xmlns:a16="http://schemas.microsoft.com/office/drawing/2014/main" id="{00000000-0008-0000-0100-0000D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76" name="Text Box 174">
          <a:extLst>
            <a:ext uri="{FF2B5EF4-FFF2-40B4-BE49-F238E27FC236}">
              <a16:creationId xmlns:a16="http://schemas.microsoft.com/office/drawing/2014/main" id="{00000000-0008-0000-0100-0000D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77" name="Text Box 175">
          <a:extLst>
            <a:ext uri="{FF2B5EF4-FFF2-40B4-BE49-F238E27FC236}">
              <a16:creationId xmlns:a16="http://schemas.microsoft.com/office/drawing/2014/main" id="{00000000-0008-0000-0100-0000D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78" name="Text Box 176">
          <a:extLst>
            <a:ext uri="{FF2B5EF4-FFF2-40B4-BE49-F238E27FC236}">
              <a16:creationId xmlns:a16="http://schemas.microsoft.com/office/drawing/2014/main" id="{00000000-0008-0000-0100-0000D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79" name="Text Box 177">
          <a:extLst>
            <a:ext uri="{FF2B5EF4-FFF2-40B4-BE49-F238E27FC236}">
              <a16:creationId xmlns:a16="http://schemas.microsoft.com/office/drawing/2014/main" id="{00000000-0008-0000-0100-0000D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80" name="Text Box 178">
          <a:extLst>
            <a:ext uri="{FF2B5EF4-FFF2-40B4-BE49-F238E27FC236}">
              <a16:creationId xmlns:a16="http://schemas.microsoft.com/office/drawing/2014/main" id="{00000000-0008-0000-0100-0000E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81" name="Text Box 179">
          <a:extLst>
            <a:ext uri="{FF2B5EF4-FFF2-40B4-BE49-F238E27FC236}">
              <a16:creationId xmlns:a16="http://schemas.microsoft.com/office/drawing/2014/main" id="{00000000-0008-0000-0100-0000E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82" name="Text Box 180">
          <a:extLst>
            <a:ext uri="{FF2B5EF4-FFF2-40B4-BE49-F238E27FC236}">
              <a16:creationId xmlns:a16="http://schemas.microsoft.com/office/drawing/2014/main" id="{00000000-0008-0000-0100-0000E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83" name="Text Box 181">
          <a:extLst>
            <a:ext uri="{FF2B5EF4-FFF2-40B4-BE49-F238E27FC236}">
              <a16:creationId xmlns:a16="http://schemas.microsoft.com/office/drawing/2014/main" id="{00000000-0008-0000-0100-0000E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84" name="Text Box 182">
          <a:extLst>
            <a:ext uri="{FF2B5EF4-FFF2-40B4-BE49-F238E27FC236}">
              <a16:creationId xmlns:a16="http://schemas.microsoft.com/office/drawing/2014/main" id="{00000000-0008-0000-0100-0000E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85" name="Text Box 183">
          <a:extLst>
            <a:ext uri="{FF2B5EF4-FFF2-40B4-BE49-F238E27FC236}">
              <a16:creationId xmlns:a16="http://schemas.microsoft.com/office/drawing/2014/main" id="{00000000-0008-0000-0100-0000E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86" name="Text Box 184">
          <a:extLst>
            <a:ext uri="{FF2B5EF4-FFF2-40B4-BE49-F238E27FC236}">
              <a16:creationId xmlns:a16="http://schemas.microsoft.com/office/drawing/2014/main" id="{00000000-0008-0000-0100-0000E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87" name="Text Box 185">
          <a:extLst>
            <a:ext uri="{FF2B5EF4-FFF2-40B4-BE49-F238E27FC236}">
              <a16:creationId xmlns:a16="http://schemas.microsoft.com/office/drawing/2014/main" id="{00000000-0008-0000-0100-0000E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88" name="Text Box 186">
          <a:extLst>
            <a:ext uri="{FF2B5EF4-FFF2-40B4-BE49-F238E27FC236}">
              <a16:creationId xmlns:a16="http://schemas.microsoft.com/office/drawing/2014/main" id="{00000000-0008-0000-0100-0000E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89" name="Text Box 187">
          <a:extLst>
            <a:ext uri="{FF2B5EF4-FFF2-40B4-BE49-F238E27FC236}">
              <a16:creationId xmlns:a16="http://schemas.microsoft.com/office/drawing/2014/main" id="{00000000-0008-0000-0100-0000E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90" name="Text Box 188">
          <a:extLst>
            <a:ext uri="{FF2B5EF4-FFF2-40B4-BE49-F238E27FC236}">
              <a16:creationId xmlns:a16="http://schemas.microsoft.com/office/drawing/2014/main" id="{00000000-0008-0000-0100-0000E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91" name="Text Box 189">
          <a:extLst>
            <a:ext uri="{FF2B5EF4-FFF2-40B4-BE49-F238E27FC236}">
              <a16:creationId xmlns:a16="http://schemas.microsoft.com/office/drawing/2014/main" id="{00000000-0008-0000-0100-0000E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92" name="Text Box 190">
          <a:extLst>
            <a:ext uri="{FF2B5EF4-FFF2-40B4-BE49-F238E27FC236}">
              <a16:creationId xmlns:a16="http://schemas.microsoft.com/office/drawing/2014/main" id="{00000000-0008-0000-0100-0000E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93" name="Text Box 191">
          <a:extLst>
            <a:ext uri="{FF2B5EF4-FFF2-40B4-BE49-F238E27FC236}">
              <a16:creationId xmlns:a16="http://schemas.microsoft.com/office/drawing/2014/main" id="{00000000-0008-0000-0100-0000E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94" name="Text Box 192">
          <a:extLst>
            <a:ext uri="{FF2B5EF4-FFF2-40B4-BE49-F238E27FC236}">
              <a16:creationId xmlns:a16="http://schemas.microsoft.com/office/drawing/2014/main" id="{00000000-0008-0000-0100-0000E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95" name="Text Box 193">
          <a:extLst>
            <a:ext uri="{FF2B5EF4-FFF2-40B4-BE49-F238E27FC236}">
              <a16:creationId xmlns:a16="http://schemas.microsoft.com/office/drawing/2014/main" id="{00000000-0008-0000-0100-0000E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96" name="Text Box 194">
          <a:extLst>
            <a:ext uri="{FF2B5EF4-FFF2-40B4-BE49-F238E27FC236}">
              <a16:creationId xmlns:a16="http://schemas.microsoft.com/office/drawing/2014/main" id="{00000000-0008-0000-0100-0000F0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97" name="Text Box 195">
          <a:extLst>
            <a:ext uri="{FF2B5EF4-FFF2-40B4-BE49-F238E27FC236}">
              <a16:creationId xmlns:a16="http://schemas.microsoft.com/office/drawing/2014/main" id="{00000000-0008-0000-0100-0000F1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98" name="Text Box 196">
          <a:extLst>
            <a:ext uri="{FF2B5EF4-FFF2-40B4-BE49-F238E27FC236}">
              <a16:creationId xmlns:a16="http://schemas.microsoft.com/office/drawing/2014/main" id="{00000000-0008-0000-0100-0000F2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499" name="Text Box 197">
          <a:extLst>
            <a:ext uri="{FF2B5EF4-FFF2-40B4-BE49-F238E27FC236}">
              <a16:creationId xmlns:a16="http://schemas.microsoft.com/office/drawing/2014/main" id="{00000000-0008-0000-0100-0000F3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00" name="Text Box 198">
          <a:extLst>
            <a:ext uri="{FF2B5EF4-FFF2-40B4-BE49-F238E27FC236}">
              <a16:creationId xmlns:a16="http://schemas.microsoft.com/office/drawing/2014/main" id="{00000000-0008-0000-0100-0000F4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01" name="Text Box 199">
          <a:extLst>
            <a:ext uri="{FF2B5EF4-FFF2-40B4-BE49-F238E27FC236}">
              <a16:creationId xmlns:a16="http://schemas.microsoft.com/office/drawing/2014/main" id="{00000000-0008-0000-0100-0000F5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02" name="Text Box 200">
          <a:extLst>
            <a:ext uri="{FF2B5EF4-FFF2-40B4-BE49-F238E27FC236}">
              <a16:creationId xmlns:a16="http://schemas.microsoft.com/office/drawing/2014/main" id="{00000000-0008-0000-0100-0000F6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03" name="Text Box 201">
          <a:extLst>
            <a:ext uri="{FF2B5EF4-FFF2-40B4-BE49-F238E27FC236}">
              <a16:creationId xmlns:a16="http://schemas.microsoft.com/office/drawing/2014/main" id="{00000000-0008-0000-0100-0000F7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04" name="Text Box 202">
          <a:extLst>
            <a:ext uri="{FF2B5EF4-FFF2-40B4-BE49-F238E27FC236}">
              <a16:creationId xmlns:a16="http://schemas.microsoft.com/office/drawing/2014/main" id="{00000000-0008-0000-0100-0000F8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05" name="Text Box 203">
          <a:extLst>
            <a:ext uri="{FF2B5EF4-FFF2-40B4-BE49-F238E27FC236}">
              <a16:creationId xmlns:a16="http://schemas.microsoft.com/office/drawing/2014/main" id="{00000000-0008-0000-0100-0000F9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06" name="Text Box 204">
          <a:extLst>
            <a:ext uri="{FF2B5EF4-FFF2-40B4-BE49-F238E27FC236}">
              <a16:creationId xmlns:a16="http://schemas.microsoft.com/office/drawing/2014/main" id="{00000000-0008-0000-0100-0000FA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07" name="Text Box 205">
          <a:extLst>
            <a:ext uri="{FF2B5EF4-FFF2-40B4-BE49-F238E27FC236}">
              <a16:creationId xmlns:a16="http://schemas.microsoft.com/office/drawing/2014/main" id="{00000000-0008-0000-0100-0000FB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08" name="Text Box 206">
          <a:extLst>
            <a:ext uri="{FF2B5EF4-FFF2-40B4-BE49-F238E27FC236}">
              <a16:creationId xmlns:a16="http://schemas.microsoft.com/office/drawing/2014/main" id="{00000000-0008-0000-0100-0000FC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09" name="Text Box 207">
          <a:extLst>
            <a:ext uri="{FF2B5EF4-FFF2-40B4-BE49-F238E27FC236}">
              <a16:creationId xmlns:a16="http://schemas.microsoft.com/office/drawing/2014/main" id="{00000000-0008-0000-0100-0000FD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10" name="Text Box 208">
          <a:extLst>
            <a:ext uri="{FF2B5EF4-FFF2-40B4-BE49-F238E27FC236}">
              <a16:creationId xmlns:a16="http://schemas.microsoft.com/office/drawing/2014/main" id="{00000000-0008-0000-0100-0000FE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11" name="Text Box 209">
          <a:extLst>
            <a:ext uri="{FF2B5EF4-FFF2-40B4-BE49-F238E27FC236}">
              <a16:creationId xmlns:a16="http://schemas.microsoft.com/office/drawing/2014/main" id="{00000000-0008-0000-0100-0000FF01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12" name="Text Box 210">
          <a:extLst>
            <a:ext uri="{FF2B5EF4-FFF2-40B4-BE49-F238E27FC236}">
              <a16:creationId xmlns:a16="http://schemas.microsoft.com/office/drawing/2014/main" id="{00000000-0008-0000-0100-00000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13" name="Text Box 211">
          <a:extLst>
            <a:ext uri="{FF2B5EF4-FFF2-40B4-BE49-F238E27FC236}">
              <a16:creationId xmlns:a16="http://schemas.microsoft.com/office/drawing/2014/main" id="{00000000-0008-0000-0100-00000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14" name="Text Box 212">
          <a:extLst>
            <a:ext uri="{FF2B5EF4-FFF2-40B4-BE49-F238E27FC236}">
              <a16:creationId xmlns:a16="http://schemas.microsoft.com/office/drawing/2014/main" id="{00000000-0008-0000-0100-00000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15" name="Text Box 213">
          <a:extLst>
            <a:ext uri="{FF2B5EF4-FFF2-40B4-BE49-F238E27FC236}">
              <a16:creationId xmlns:a16="http://schemas.microsoft.com/office/drawing/2014/main" id="{00000000-0008-0000-0100-00000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16" name="Text Box 214">
          <a:extLst>
            <a:ext uri="{FF2B5EF4-FFF2-40B4-BE49-F238E27FC236}">
              <a16:creationId xmlns:a16="http://schemas.microsoft.com/office/drawing/2014/main" id="{00000000-0008-0000-0100-00000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17" name="Text Box 215">
          <a:extLst>
            <a:ext uri="{FF2B5EF4-FFF2-40B4-BE49-F238E27FC236}">
              <a16:creationId xmlns:a16="http://schemas.microsoft.com/office/drawing/2014/main" id="{00000000-0008-0000-0100-00000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18" name="Text Box 216">
          <a:extLst>
            <a:ext uri="{FF2B5EF4-FFF2-40B4-BE49-F238E27FC236}">
              <a16:creationId xmlns:a16="http://schemas.microsoft.com/office/drawing/2014/main" id="{00000000-0008-0000-0100-00000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19" name="Text Box 217">
          <a:extLst>
            <a:ext uri="{FF2B5EF4-FFF2-40B4-BE49-F238E27FC236}">
              <a16:creationId xmlns:a16="http://schemas.microsoft.com/office/drawing/2014/main" id="{00000000-0008-0000-0100-00000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20" name="Text Box 218">
          <a:extLst>
            <a:ext uri="{FF2B5EF4-FFF2-40B4-BE49-F238E27FC236}">
              <a16:creationId xmlns:a16="http://schemas.microsoft.com/office/drawing/2014/main" id="{00000000-0008-0000-0100-00000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21" name="Text Box 219">
          <a:extLst>
            <a:ext uri="{FF2B5EF4-FFF2-40B4-BE49-F238E27FC236}">
              <a16:creationId xmlns:a16="http://schemas.microsoft.com/office/drawing/2014/main" id="{00000000-0008-0000-0100-00000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22" name="Text Box 220">
          <a:extLst>
            <a:ext uri="{FF2B5EF4-FFF2-40B4-BE49-F238E27FC236}">
              <a16:creationId xmlns:a16="http://schemas.microsoft.com/office/drawing/2014/main" id="{00000000-0008-0000-0100-00000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23" name="Text Box 221">
          <a:extLst>
            <a:ext uri="{FF2B5EF4-FFF2-40B4-BE49-F238E27FC236}">
              <a16:creationId xmlns:a16="http://schemas.microsoft.com/office/drawing/2014/main" id="{00000000-0008-0000-0100-00000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24" name="Text Box 222">
          <a:extLst>
            <a:ext uri="{FF2B5EF4-FFF2-40B4-BE49-F238E27FC236}">
              <a16:creationId xmlns:a16="http://schemas.microsoft.com/office/drawing/2014/main" id="{00000000-0008-0000-0100-00000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25" name="Text Box 223">
          <a:extLst>
            <a:ext uri="{FF2B5EF4-FFF2-40B4-BE49-F238E27FC236}">
              <a16:creationId xmlns:a16="http://schemas.microsoft.com/office/drawing/2014/main" id="{00000000-0008-0000-0100-00000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26" name="Text Box 224">
          <a:extLst>
            <a:ext uri="{FF2B5EF4-FFF2-40B4-BE49-F238E27FC236}">
              <a16:creationId xmlns:a16="http://schemas.microsoft.com/office/drawing/2014/main" id="{00000000-0008-0000-0100-00000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27" name="Text Box 225">
          <a:extLst>
            <a:ext uri="{FF2B5EF4-FFF2-40B4-BE49-F238E27FC236}">
              <a16:creationId xmlns:a16="http://schemas.microsoft.com/office/drawing/2014/main" id="{00000000-0008-0000-0100-00000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28" name="Text Box 226">
          <a:extLst>
            <a:ext uri="{FF2B5EF4-FFF2-40B4-BE49-F238E27FC236}">
              <a16:creationId xmlns:a16="http://schemas.microsoft.com/office/drawing/2014/main" id="{00000000-0008-0000-0100-00001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29" name="Text Box 227">
          <a:extLst>
            <a:ext uri="{FF2B5EF4-FFF2-40B4-BE49-F238E27FC236}">
              <a16:creationId xmlns:a16="http://schemas.microsoft.com/office/drawing/2014/main" id="{00000000-0008-0000-0100-00001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30" name="Text Box 228">
          <a:extLst>
            <a:ext uri="{FF2B5EF4-FFF2-40B4-BE49-F238E27FC236}">
              <a16:creationId xmlns:a16="http://schemas.microsoft.com/office/drawing/2014/main" id="{00000000-0008-0000-0100-00001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31" name="Text Box 229">
          <a:extLst>
            <a:ext uri="{FF2B5EF4-FFF2-40B4-BE49-F238E27FC236}">
              <a16:creationId xmlns:a16="http://schemas.microsoft.com/office/drawing/2014/main" id="{00000000-0008-0000-0100-00001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32" name="Text Box 230">
          <a:extLst>
            <a:ext uri="{FF2B5EF4-FFF2-40B4-BE49-F238E27FC236}">
              <a16:creationId xmlns:a16="http://schemas.microsoft.com/office/drawing/2014/main" id="{00000000-0008-0000-0100-00001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33" name="Text Box 231">
          <a:extLst>
            <a:ext uri="{FF2B5EF4-FFF2-40B4-BE49-F238E27FC236}">
              <a16:creationId xmlns:a16="http://schemas.microsoft.com/office/drawing/2014/main" id="{00000000-0008-0000-0100-00001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34" name="Text Box 232">
          <a:extLst>
            <a:ext uri="{FF2B5EF4-FFF2-40B4-BE49-F238E27FC236}">
              <a16:creationId xmlns:a16="http://schemas.microsoft.com/office/drawing/2014/main" id="{00000000-0008-0000-0100-00001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35" name="Text Box 233">
          <a:extLst>
            <a:ext uri="{FF2B5EF4-FFF2-40B4-BE49-F238E27FC236}">
              <a16:creationId xmlns:a16="http://schemas.microsoft.com/office/drawing/2014/main" id="{00000000-0008-0000-0100-00001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36" name="Text Box 234">
          <a:extLst>
            <a:ext uri="{FF2B5EF4-FFF2-40B4-BE49-F238E27FC236}">
              <a16:creationId xmlns:a16="http://schemas.microsoft.com/office/drawing/2014/main" id="{00000000-0008-0000-0100-00001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37" name="Text Box 235">
          <a:extLst>
            <a:ext uri="{FF2B5EF4-FFF2-40B4-BE49-F238E27FC236}">
              <a16:creationId xmlns:a16="http://schemas.microsoft.com/office/drawing/2014/main" id="{00000000-0008-0000-0100-00001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38" name="Text Box 236">
          <a:extLst>
            <a:ext uri="{FF2B5EF4-FFF2-40B4-BE49-F238E27FC236}">
              <a16:creationId xmlns:a16="http://schemas.microsoft.com/office/drawing/2014/main" id="{00000000-0008-0000-0100-00001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39" name="Text Box 237">
          <a:extLst>
            <a:ext uri="{FF2B5EF4-FFF2-40B4-BE49-F238E27FC236}">
              <a16:creationId xmlns:a16="http://schemas.microsoft.com/office/drawing/2014/main" id="{00000000-0008-0000-0100-00001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40" name="Text Box 238">
          <a:extLst>
            <a:ext uri="{FF2B5EF4-FFF2-40B4-BE49-F238E27FC236}">
              <a16:creationId xmlns:a16="http://schemas.microsoft.com/office/drawing/2014/main" id="{00000000-0008-0000-0100-00001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41" name="Text Box 239">
          <a:extLst>
            <a:ext uri="{FF2B5EF4-FFF2-40B4-BE49-F238E27FC236}">
              <a16:creationId xmlns:a16="http://schemas.microsoft.com/office/drawing/2014/main" id="{00000000-0008-0000-0100-00001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42" name="Text Box 240">
          <a:extLst>
            <a:ext uri="{FF2B5EF4-FFF2-40B4-BE49-F238E27FC236}">
              <a16:creationId xmlns:a16="http://schemas.microsoft.com/office/drawing/2014/main" id="{00000000-0008-0000-0100-00001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43" name="Text Box 241">
          <a:extLst>
            <a:ext uri="{FF2B5EF4-FFF2-40B4-BE49-F238E27FC236}">
              <a16:creationId xmlns:a16="http://schemas.microsoft.com/office/drawing/2014/main" id="{00000000-0008-0000-0100-00001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44" name="Text Box 242">
          <a:extLst>
            <a:ext uri="{FF2B5EF4-FFF2-40B4-BE49-F238E27FC236}">
              <a16:creationId xmlns:a16="http://schemas.microsoft.com/office/drawing/2014/main" id="{00000000-0008-0000-0100-00002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45" name="Text Box 243">
          <a:extLst>
            <a:ext uri="{FF2B5EF4-FFF2-40B4-BE49-F238E27FC236}">
              <a16:creationId xmlns:a16="http://schemas.microsoft.com/office/drawing/2014/main" id="{00000000-0008-0000-0100-00002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46" name="Text Box 244">
          <a:extLst>
            <a:ext uri="{FF2B5EF4-FFF2-40B4-BE49-F238E27FC236}">
              <a16:creationId xmlns:a16="http://schemas.microsoft.com/office/drawing/2014/main" id="{00000000-0008-0000-0100-00002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47" name="Text Box 245">
          <a:extLst>
            <a:ext uri="{FF2B5EF4-FFF2-40B4-BE49-F238E27FC236}">
              <a16:creationId xmlns:a16="http://schemas.microsoft.com/office/drawing/2014/main" id="{00000000-0008-0000-0100-00002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48" name="Text Box 246">
          <a:extLst>
            <a:ext uri="{FF2B5EF4-FFF2-40B4-BE49-F238E27FC236}">
              <a16:creationId xmlns:a16="http://schemas.microsoft.com/office/drawing/2014/main" id="{00000000-0008-0000-0100-00002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49" name="Text Box 247">
          <a:extLst>
            <a:ext uri="{FF2B5EF4-FFF2-40B4-BE49-F238E27FC236}">
              <a16:creationId xmlns:a16="http://schemas.microsoft.com/office/drawing/2014/main" id="{00000000-0008-0000-0100-00002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50" name="Text Box 248">
          <a:extLst>
            <a:ext uri="{FF2B5EF4-FFF2-40B4-BE49-F238E27FC236}">
              <a16:creationId xmlns:a16="http://schemas.microsoft.com/office/drawing/2014/main" id="{00000000-0008-0000-0100-00002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51" name="Text Box 249">
          <a:extLst>
            <a:ext uri="{FF2B5EF4-FFF2-40B4-BE49-F238E27FC236}">
              <a16:creationId xmlns:a16="http://schemas.microsoft.com/office/drawing/2014/main" id="{00000000-0008-0000-0100-00002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52" name="Text Box 250">
          <a:extLst>
            <a:ext uri="{FF2B5EF4-FFF2-40B4-BE49-F238E27FC236}">
              <a16:creationId xmlns:a16="http://schemas.microsoft.com/office/drawing/2014/main" id="{00000000-0008-0000-0100-00002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53" name="Text Box 251">
          <a:extLst>
            <a:ext uri="{FF2B5EF4-FFF2-40B4-BE49-F238E27FC236}">
              <a16:creationId xmlns:a16="http://schemas.microsoft.com/office/drawing/2014/main" id="{00000000-0008-0000-0100-00002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54" name="Text Box 252">
          <a:extLst>
            <a:ext uri="{FF2B5EF4-FFF2-40B4-BE49-F238E27FC236}">
              <a16:creationId xmlns:a16="http://schemas.microsoft.com/office/drawing/2014/main" id="{00000000-0008-0000-0100-00002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55" name="Text Box 253">
          <a:extLst>
            <a:ext uri="{FF2B5EF4-FFF2-40B4-BE49-F238E27FC236}">
              <a16:creationId xmlns:a16="http://schemas.microsoft.com/office/drawing/2014/main" id="{00000000-0008-0000-0100-00002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56" name="Text Box 254">
          <a:extLst>
            <a:ext uri="{FF2B5EF4-FFF2-40B4-BE49-F238E27FC236}">
              <a16:creationId xmlns:a16="http://schemas.microsoft.com/office/drawing/2014/main" id="{00000000-0008-0000-0100-00002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57" name="Text Box 255">
          <a:extLst>
            <a:ext uri="{FF2B5EF4-FFF2-40B4-BE49-F238E27FC236}">
              <a16:creationId xmlns:a16="http://schemas.microsoft.com/office/drawing/2014/main" id="{00000000-0008-0000-0100-00002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58" name="Text Box 256">
          <a:extLst>
            <a:ext uri="{FF2B5EF4-FFF2-40B4-BE49-F238E27FC236}">
              <a16:creationId xmlns:a16="http://schemas.microsoft.com/office/drawing/2014/main" id="{00000000-0008-0000-0100-00002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59" name="Text Box 257">
          <a:extLst>
            <a:ext uri="{FF2B5EF4-FFF2-40B4-BE49-F238E27FC236}">
              <a16:creationId xmlns:a16="http://schemas.microsoft.com/office/drawing/2014/main" id="{00000000-0008-0000-0100-00002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60" name="Text Box 258">
          <a:extLst>
            <a:ext uri="{FF2B5EF4-FFF2-40B4-BE49-F238E27FC236}">
              <a16:creationId xmlns:a16="http://schemas.microsoft.com/office/drawing/2014/main" id="{00000000-0008-0000-0100-00003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61" name="Text Box 259">
          <a:extLst>
            <a:ext uri="{FF2B5EF4-FFF2-40B4-BE49-F238E27FC236}">
              <a16:creationId xmlns:a16="http://schemas.microsoft.com/office/drawing/2014/main" id="{00000000-0008-0000-0100-00003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62" name="Text Box 260">
          <a:extLst>
            <a:ext uri="{FF2B5EF4-FFF2-40B4-BE49-F238E27FC236}">
              <a16:creationId xmlns:a16="http://schemas.microsoft.com/office/drawing/2014/main" id="{00000000-0008-0000-0100-00003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63" name="Text Box 261">
          <a:extLst>
            <a:ext uri="{FF2B5EF4-FFF2-40B4-BE49-F238E27FC236}">
              <a16:creationId xmlns:a16="http://schemas.microsoft.com/office/drawing/2014/main" id="{00000000-0008-0000-0100-00003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64" name="Text Box 262">
          <a:extLst>
            <a:ext uri="{FF2B5EF4-FFF2-40B4-BE49-F238E27FC236}">
              <a16:creationId xmlns:a16="http://schemas.microsoft.com/office/drawing/2014/main" id="{00000000-0008-0000-0100-00003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65" name="Text Box 263">
          <a:extLst>
            <a:ext uri="{FF2B5EF4-FFF2-40B4-BE49-F238E27FC236}">
              <a16:creationId xmlns:a16="http://schemas.microsoft.com/office/drawing/2014/main" id="{00000000-0008-0000-0100-00003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66" name="Text Box 264">
          <a:extLst>
            <a:ext uri="{FF2B5EF4-FFF2-40B4-BE49-F238E27FC236}">
              <a16:creationId xmlns:a16="http://schemas.microsoft.com/office/drawing/2014/main" id="{00000000-0008-0000-0100-00003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67" name="Text Box 265">
          <a:extLst>
            <a:ext uri="{FF2B5EF4-FFF2-40B4-BE49-F238E27FC236}">
              <a16:creationId xmlns:a16="http://schemas.microsoft.com/office/drawing/2014/main" id="{00000000-0008-0000-0100-00003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68" name="Text Box 266">
          <a:extLst>
            <a:ext uri="{FF2B5EF4-FFF2-40B4-BE49-F238E27FC236}">
              <a16:creationId xmlns:a16="http://schemas.microsoft.com/office/drawing/2014/main" id="{00000000-0008-0000-0100-00003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69" name="Text Box 267">
          <a:extLst>
            <a:ext uri="{FF2B5EF4-FFF2-40B4-BE49-F238E27FC236}">
              <a16:creationId xmlns:a16="http://schemas.microsoft.com/office/drawing/2014/main" id="{00000000-0008-0000-0100-00003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70" name="Text Box 268">
          <a:extLst>
            <a:ext uri="{FF2B5EF4-FFF2-40B4-BE49-F238E27FC236}">
              <a16:creationId xmlns:a16="http://schemas.microsoft.com/office/drawing/2014/main" id="{00000000-0008-0000-0100-00003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71" name="Text Box 269">
          <a:extLst>
            <a:ext uri="{FF2B5EF4-FFF2-40B4-BE49-F238E27FC236}">
              <a16:creationId xmlns:a16="http://schemas.microsoft.com/office/drawing/2014/main" id="{00000000-0008-0000-0100-00003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72" name="Text Box 270">
          <a:extLst>
            <a:ext uri="{FF2B5EF4-FFF2-40B4-BE49-F238E27FC236}">
              <a16:creationId xmlns:a16="http://schemas.microsoft.com/office/drawing/2014/main" id="{00000000-0008-0000-0100-00003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73" name="Text Box 271">
          <a:extLst>
            <a:ext uri="{FF2B5EF4-FFF2-40B4-BE49-F238E27FC236}">
              <a16:creationId xmlns:a16="http://schemas.microsoft.com/office/drawing/2014/main" id="{00000000-0008-0000-0100-00003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74" name="Text Box 272">
          <a:extLst>
            <a:ext uri="{FF2B5EF4-FFF2-40B4-BE49-F238E27FC236}">
              <a16:creationId xmlns:a16="http://schemas.microsoft.com/office/drawing/2014/main" id="{00000000-0008-0000-0100-00003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75" name="Text Box 273">
          <a:extLst>
            <a:ext uri="{FF2B5EF4-FFF2-40B4-BE49-F238E27FC236}">
              <a16:creationId xmlns:a16="http://schemas.microsoft.com/office/drawing/2014/main" id="{00000000-0008-0000-0100-00003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76" name="Text Box 274">
          <a:extLst>
            <a:ext uri="{FF2B5EF4-FFF2-40B4-BE49-F238E27FC236}">
              <a16:creationId xmlns:a16="http://schemas.microsoft.com/office/drawing/2014/main" id="{00000000-0008-0000-0100-00004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77" name="Text Box 275">
          <a:extLst>
            <a:ext uri="{FF2B5EF4-FFF2-40B4-BE49-F238E27FC236}">
              <a16:creationId xmlns:a16="http://schemas.microsoft.com/office/drawing/2014/main" id="{00000000-0008-0000-0100-00004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78" name="Text Box 276">
          <a:extLst>
            <a:ext uri="{FF2B5EF4-FFF2-40B4-BE49-F238E27FC236}">
              <a16:creationId xmlns:a16="http://schemas.microsoft.com/office/drawing/2014/main" id="{00000000-0008-0000-0100-00004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79" name="Text Box 277">
          <a:extLst>
            <a:ext uri="{FF2B5EF4-FFF2-40B4-BE49-F238E27FC236}">
              <a16:creationId xmlns:a16="http://schemas.microsoft.com/office/drawing/2014/main" id="{00000000-0008-0000-0100-00004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80" name="Text Box 278">
          <a:extLst>
            <a:ext uri="{FF2B5EF4-FFF2-40B4-BE49-F238E27FC236}">
              <a16:creationId xmlns:a16="http://schemas.microsoft.com/office/drawing/2014/main" id="{00000000-0008-0000-0100-00004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81" name="Text Box 279">
          <a:extLst>
            <a:ext uri="{FF2B5EF4-FFF2-40B4-BE49-F238E27FC236}">
              <a16:creationId xmlns:a16="http://schemas.microsoft.com/office/drawing/2014/main" id="{00000000-0008-0000-0100-00004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82" name="Text Box 280">
          <a:extLst>
            <a:ext uri="{FF2B5EF4-FFF2-40B4-BE49-F238E27FC236}">
              <a16:creationId xmlns:a16="http://schemas.microsoft.com/office/drawing/2014/main" id="{00000000-0008-0000-0100-00004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83" name="Text Box 281">
          <a:extLst>
            <a:ext uri="{FF2B5EF4-FFF2-40B4-BE49-F238E27FC236}">
              <a16:creationId xmlns:a16="http://schemas.microsoft.com/office/drawing/2014/main" id="{00000000-0008-0000-0100-00004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84" name="Text Box 282">
          <a:extLst>
            <a:ext uri="{FF2B5EF4-FFF2-40B4-BE49-F238E27FC236}">
              <a16:creationId xmlns:a16="http://schemas.microsoft.com/office/drawing/2014/main" id="{00000000-0008-0000-0100-00004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85" name="Text Box 283">
          <a:extLst>
            <a:ext uri="{FF2B5EF4-FFF2-40B4-BE49-F238E27FC236}">
              <a16:creationId xmlns:a16="http://schemas.microsoft.com/office/drawing/2014/main" id="{00000000-0008-0000-0100-00004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86" name="Text Box 284">
          <a:extLst>
            <a:ext uri="{FF2B5EF4-FFF2-40B4-BE49-F238E27FC236}">
              <a16:creationId xmlns:a16="http://schemas.microsoft.com/office/drawing/2014/main" id="{00000000-0008-0000-0100-00004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87" name="Text Box 285">
          <a:extLst>
            <a:ext uri="{FF2B5EF4-FFF2-40B4-BE49-F238E27FC236}">
              <a16:creationId xmlns:a16="http://schemas.microsoft.com/office/drawing/2014/main" id="{00000000-0008-0000-0100-00004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88" name="Text Box 286">
          <a:extLst>
            <a:ext uri="{FF2B5EF4-FFF2-40B4-BE49-F238E27FC236}">
              <a16:creationId xmlns:a16="http://schemas.microsoft.com/office/drawing/2014/main" id="{00000000-0008-0000-0100-00004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89" name="Text Box 287">
          <a:extLst>
            <a:ext uri="{FF2B5EF4-FFF2-40B4-BE49-F238E27FC236}">
              <a16:creationId xmlns:a16="http://schemas.microsoft.com/office/drawing/2014/main" id="{00000000-0008-0000-0100-00004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90" name="Text Box 288">
          <a:extLst>
            <a:ext uri="{FF2B5EF4-FFF2-40B4-BE49-F238E27FC236}">
              <a16:creationId xmlns:a16="http://schemas.microsoft.com/office/drawing/2014/main" id="{00000000-0008-0000-0100-00004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91" name="Text Box 289">
          <a:extLst>
            <a:ext uri="{FF2B5EF4-FFF2-40B4-BE49-F238E27FC236}">
              <a16:creationId xmlns:a16="http://schemas.microsoft.com/office/drawing/2014/main" id="{00000000-0008-0000-0100-00004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92" name="Text Box 290">
          <a:extLst>
            <a:ext uri="{FF2B5EF4-FFF2-40B4-BE49-F238E27FC236}">
              <a16:creationId xmlns:a16="http://schemas.microsoft.com/office/drawing/2014/main" id="{00000000-0008-0000-0100-00005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93" name="Text Box 291">
          <a:extLst>
            <a:ext uri="{FF2B5EF4-FFF2-40B4-BE49-F238E27FC236}">
              <a16:creationId xmlns:a16="http://schemas.microsoft.com/office/drawing/2014/main" id="{00000000-0008-0000-0100-00005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94" name="Text Box 292">
          <a:extLst>
            <a:ext uri="{FF2B5EF4-FFF2-40B4-BE49-F238E27FC236}">
              <a16:creationId xmlns:a16="http://schemas.microsoft.com/office/drawing/2014/main" id="{00000000-0008-0000-0100-00005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95" name="Text Box 293">
          <a:extLst>
            <a:ext uri="{FF2B5EF4-FFF2-40B4-BE49-F238E27FC236}">
              <a16:creationId xmlns:a16="http://schemas.microsoft.com/office/drawing/2014/main" id="{00000000-0008-0000-0100-00005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96" name="Text Box 294">
          <a:extLst>
            <a:ext uri="{FF2B5EF4-FFF2-40B4-BE49-F238E27FC236}">
              <a16:creationId xmlns:a16="http://schemas.microsoft.com/office/drawing/2014/main" id="{00000000-0008-0000-0100-00005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97" name="Text Box 295">
          <a:extLst>
            <a:ext uri="{FF2B5EF4-FFF2-40B4-BE49-F238E27FC236}">
              <a16:creationId xmlns:a16="http://schemas.microsoft.com/office/drawing/2014/main" id="{00000000-0008-0000-0100-00005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98" name="Text Box 296">
          <a:extLst>
            <a:ext uri="{FF2B5EF4-FFF2-40B4-BE49-F238E27FC236}">
              <a16:creationId xmlns:a16="http://schemas.microsoft.com/office/drawing/2014/main" id="{00000000-0008-0000-0100-00005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599" name="Text Box 297">
          <a:extLst>
            <a:ext uri="{FF2B5EF4-FFF2-40B4-BE49-F238E27FC236}">
              <a16:creationId xmlns:a16="http://schemas.microsoft.com/office/drawing/2014/main" id="{00000000-0008-0000-0100-00005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00" name="Text Box 298">
          <a:extLst>
            <a:ext uri="{FF2B5EF4-FFF2-40B4-BE49-F238E27FC236}">
              <a16:creationId xmlns:a16="http://schemas.microsoft.com/office/drawing/2014/main" id="{00000000-0008-0000-0100-00005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01" name="Text Box 299">
          <a:extLst>
            <a:ext uri="{FF2B5EF4-FFF2-40B4-BE49-F238E27FC236}">
              <a16:creationId xmlns:a16="http://schemas.microsoft.com/office/drawing/2014/main" id="{00000000-0008-0000-0100-00005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02" name="Text Box 300">
          <a:extLst>
            <a:ext uri="{FF2B5EF4-FFF2-40B4-BE49-F238E27FC236}">
              <a16:creationId xmlns:a16="http://schemas.microsoft.com/office/drawing/2014/main" id="{00000000-0008-0000-0100-00005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03" name="Text Box 301">
          <a:extLst>
            <a:ext uri="{FF2B5EF4-FFF2-40B4-BE49-F238E27FC236}">
              <a16:creationId xmlns:a16="http://schemas.microsoft.com/office/drawing/2014/main" id="{00000000-0008-0000-0100-00005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04" name="Text Box 302">
          <a:extLst>
            <a:ext uri="{FF2B5EF4-FFF2-40B4-BE49-F238E27FC236}">
              <a16:creationId xmlns:a16="http://schemas.microsoft.com/office/drawing/2014/main" id="{00000000-0008-0000-0100-00005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05" name="Text Box 303">
          <a:extLst>
            <a:ext uri="{FF2B5EF4-FFF2-40B4-BE49-F238E27FC236}">
              <a16:creationId xmlns:a16="http://schemas.microsoft.com/office/drawing/2014/main" id="{00000000-0008-0000-0100-00005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06" name="Text Box 1">
          <a:extLst>
            <a:ext uri="{FF2B5EF4-FFF2-40B4-BE49-F238E27FC236}">
              <a16:creationId xmlns:a16="http://schemas.microsoft.com/office/drawing/2014/main" id="{00000000-0008-0000-0100-00005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07" name="Text Box 2">
          <a:extLst>
            <a:ext uri="{FF2B5EF4-FFF2-40B4-BE49-F238E27FC236}">
              <a16:creationId xmlns:a16="http://schemas.microsoft.com/office/drawing/2014/main" id="{00000000-0008-0000-0100-00005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08" name="Text Box 3">
          <a:extLst>
            <a:ext uri="{FF2B5EF4-FFF2-40B4-BE49-F238E27FC236}">
              <a16:creationId xmlns:a16="http://schemas.microsoft.com/office/drawing/2014/main" id="{00000000-0008-0000-0100-00006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09" name="Text Box 4">
          <a:extLst>
            <a:ext uri="{FF2B5EF4-FFF2-40B4-BE49-F238E27FC236}">
              <a16:creationId xmlns:a16="http://schemas.microsoft.com/office/drawing/2014/main" id="{00000000-0008-0000-0100-00006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10" name="Text Box 5">
          <a:extLst>
            <a:ext uri="{FF2B5EF4-FFF2-40B4-BE49-F238E27FC236}">
              <a16:creationId xmlns:a16="http://schemas.microsoft.com/office/drawing/2014/main" id="{00000000-0008-0000-0100-00006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11" name="Text Box 6">
          <a:extLst>
            <a:ext uri="{FF2B5EF4-FFF2-40B4-BE49-F238E27FC236}">
              <a16:creationId xmlns:a16="http://schemas.microsoft.com/office/drawing/2014/main" id="{00000000-0008-0000-0100-00006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12" name="Text Box 7">
          <a:extLst>
            <a:ext uri="{FF2B5EF4-FFF2-40B4-BE49-F238E27FC236}">
              <a16:creationId xmlns:a16="http://schemas.microsoft.com/office/drawing/2014/main" id="{00000000-0008-0000-0100-00006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13" name="Text Box 8">
          <a:extLst>
            <a:ext uri="{FF2B5EF4-FFF2-40B4-BE49-F238E27FC236}">
              <a16:creationId xmlns:a16="http://schemas.microsoft.com/office/drawing/2014/main" id="{00000000-0008-0000-0100-00006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14" name="Text Box 9">
          <a:extLst>
            <a:ext uri="{FF2B5EF4-FFF2-40B4-BE49-F238E27FC236}">
              <a16:creationId xmlns:a16="http://schemas.microsoft.com/office/drawing/2014/main" id="{00000000-0008-0000-0100-00006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15" name="Text Box 10">
          <a:extLst>
            <a:ext uri="{FF2B5EF4-FFF2-40B4-BE49-F238E27FC236}">
              <a16:creationId xmlns:a16="http://schemas.microsoft.com/office/drawing/2014/main" id="{00000000-0008-0000-0100-00006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16" name="Text Box 11">
          <a:extLst>
            <a:ext uri="{FF2B5EF4-FFF2-40B4-BE49-F238E27FC236}">
              <a16:creationId xmlns:a16="http://schemas.microsoft.com/office/drawing/2014/main" id="{00000000-0008-0000-0100-00006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17" name="Text Box 12">
          <a:extLst>
            <a:ext uri="{FF2B5EF4-FFF2-40B4-BE49-F238E27FC236}">
              <a16:creationId xmlns:a16="http://schemas.microsoft.com/office/drawing/2014/main" id="{00000000-0008-0000-0100-00006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18" name="Text Box 13">
          <a:extLst>
            <a:ext uri="{FF2B5EF4-FFF2-40B4-BE49-F238E27FC236}">
              <a16:creationId xmlns:a16="http://schemas.microsoft.com/office/drawing/2014/main" id="{00000000-0008-0000-0100-00006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19" name="Text Box 14">
          <a:extLst>
            <a:ext uri="{FF2B5EF4-FFF2-40B4-BE49-F238E27FC236}">
              <a16:creationId xmlns:a16="http://schemas.microsoft.com/office/drawing/2014/main" id="{00000000-0008-0000-0100-00006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20" name="Text Box 15">
          <a:extLst>
            <a:ext uri="{FF2B5EF4-FFF2-40B4-BE49-F238E27FC236}">
              <a16:creationId xmlns:a16="http://schemas.microsoft.com/office/drawing/2014/main" id="{00000000-0008-0000-0100-00006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21" name="Text Box 16">
          <a:extLst>
            <a:ext uri="{FF2B5EF4-FFF2-40B4-BE49-F238E27FC236}">
              <a16:creationId xmlns:a16="http://schemas.microsoft.com/office/drawing/2014/main" id="{00000000-0008-0000-0100-00006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22" name="Text Box 17">
          <a:extLst>
            <a:ext uri="{FF2B5EF4-FFF2-40B4-BE49-F238E27FC236}">
              <a16:creationId xmlns:a16="http://schemas.microsoft.com/office/drawing/2014/main" id="{00000000-0008-0000-0100-00006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23" name="Text Box 18">
          <a:extLst>
            <a:ext uri="{FF2B5EF4-FFF2-40B4-BE49-F238E27FC236}">
              <a16:creationId xmlns:a16="http://schemas.microsoft.com/office/drawing/2014/main" id="{00000000-0008-0000-0100-00006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24" name="Text Box 19">
          <a:extLst>
            <a:ext uri="{FF2B5EF4-FFF2-40B4-BE49-F238E27FC236}">
              <a16:creationId xmlns:a16="http://schemas.microsoft.com/office/drawing/2014/main" id="{00000000-0008-0000-0100-00007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25" name="Text Box 20">
          <a:extLst>
            <a:ext uri="{FF2B5EF4-FFF2-40B4-BE49-F238E27FC236}">
              <a16:creationId xmlns:a16="http://schemas.microsoft.com/office/drawing/2014/main" id="{00000000-0008-0000-0100-00007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26" name="Text Box 21">
          <a:extLst>
            <a:ext uri="{FF2B5EF4-FFF2-40B4-BE49-F238E27FC236}">
              <a16:creationId xmlns:a16="http://schemas.microsoft.com/office/drawing/2014/main" id="{00000000-0008-0000-0100-00007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27" name="Text Box 22">
          <a:extLst>
            <a:ext uri="{FF2B5EF4-FFF2-40B4-BE49-F238E27FC236}">
              <a16:creationId xmlns:a16="http://schemas.microsoft.com/office/drawing/2014/main" id="{00000000-0008-0000-0100-00007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28" name="Text Box 23">
          <a:extLst>
            <a:ext uri="{FF2B5EF4-FFF2-40B4-BE49-F238E27FC236}">
              <a16:creationId xmlns:a16="http://schemas.microsoft.com/office/drawing/2014/main" id="{00000000-0008-0000-0100-00007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29" name="Text Box 24">
          <a:extLst>
            <a:ext uri="{FF2B5EF4-FFF2-40B4-BE49-F238E27FC236}">
              <a16:creationId xmlns:a16="http://schemas.microsoft.com/office/drawing/2014/main" id="{00000000-0008-0000-0100-00007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30" name="Text Box 25">
          <a:extLst>
            <a:ext uri="{FF2B5EF4-FFF2-40B4-BE49-F238E27FC236}">
              <a16:creationId xmlns:a16="http://schemas.microsoft.com/office/drawing/2014/main" id="{00000000-0008-0000-0100-00007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31" name="Text Box 26">
          <a:extLst>
            <a:ext uri="{FF2B5EF4-FFF2-40B4-BE49-F238E27FC236}">
              <a16:creationId xmlns:a16="http://schemas.microsoft.com/office/drawing/2014/main" id="{00000000-0008-0000-0100-00007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32" name="Text Box 27">
          <a:extLst>
            <a:ext uri="{FF2B5EF4-FFF2-40B4-BE49-F238E27FC236}">
              <a16:creationId xmlns:a16="http://schemas.microsoft.com/office/drawing/2014/main" id="{00000000-0008-0000-0100-00007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33" name="Text Box 28">
          <a:extLst>
            <a:ext uri="{FF2B5EF4-FFF2-40B4-BE49-F238E27FC236}">
              <a16:creationId xmlns:a16="http://schemas.microsoft.com/office/drawing/2014/main" id="{00000000-0008-0000-0100-00007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34" name="Text Box 29">
          <a:extLst>
            <a:ext uri="{FF2B5EF4-FFF2-40B4-BE49-F238E27FC236}">
              <a16:creationId xmlns:a16="http://schemas.microsoft.com/office/drawing/2014/main" id="{00000000-0008-0000-0100-00007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35" name="Text Box 30">
          <a:extLst>
            <a:ext uri="{FF2B5EF4-FFF2-40B4-BE49-F238E27FC236}">
              <a16:creationId xmlns:a16="http://schemas.microsoft.com/office/drawing/2014/main" id="{00000000-0008-0000-0100-00007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36" name="Text Box 31">
          <a:extLst>
            <a:ext uri="{FF2B5EF4-FFF2-40B4-BE49-F238E27FC236}">
              <a16:creationId xmlns:a16="http://schemas.microsoft.com/office/drawing/2014/main" id="{00000000-0008-0000-0100-00007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37" name="Text Box 32">
          <a:extLst>
            <a:ext uri="{FF2B5EF4-FFF2-40B4-BE49-F238E27FC236}">
              <a16:creationId xmlns:a16="http://schemas.microsoft.com/office/drawing/2014/main" id="{00000000-0008-0000-0100-00007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38" name="Text Box 33">
          <a:extLst>
            <a:ext uri="{FF2B5EF4-FFF2-40B4-BE49-F238E27FC236}">
              <a16:creationId xmlns:a16="http://schemas.microsoft.com/office/drawing/2014/main" id="{00000000-0008-0000-0100-00007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39" name="Text Box 34">
          <a:extLst>
            <a:ext uri="{FF2B5EF4-FFF2-40B4-BE49-F238E27FC236}">
              <a16:creationId xmlns:a16="http://schemas.microsoft.com/office/drawing/2014/main" id="{00000000-0008-0000-0100-00007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40" name="Text Box 35">
          <a:extLst>
            <a:ext uri="{FF2B5EF4-FFF2-40B4-BE49-F238E27FC236}">
              <a16:creationId xmlns:a16="http://schemas.microsoft.com/office/drawing/2014/main" id="{00000000-0008-0000-0100-00008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41" name="Text Box 36">
          <a:extLst>
            <a:ext uri="{FF2B5EF4-FFF2-40B4-BE49-F238E27FC236}">
              <a16:creationId xmlns:a16="http://schemas.microsoft.com/office/drawing/2014/main" id="{00000000-0008-0000-0100-00008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42" name="Text Box 37">
          <a:extLst>
            <a:ext uri="{FF2B5EF4-FFF2-40B4-BE49-F238E27FC236}">
              <a16:creationId xmlns:a16="http://schemas.microsoft.com/office/drawing/2014/main" id="{00000000-0008-0000-0100-00008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43" name="Text Box 38">
          <a:extLst>
            <a:ext uri="{FF2B5EF4-FFF2-40B4-BE49-F238E27FC236}">
              <a16:creationId xmlns:a16="http://schemas.microsoft.com/office/drawing/2014/main" id="{00000000-0008-0000-0100-00008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44" name="Text Box 39">
          <a:extLst>
            <a:ext uri="{FF2B5EF4-FFF2-40B4-BE49-F238E27FC236}">
              <a16:creationId xmlns:a16="http://schemas.microsoft.com/office/drawing/2014/main" id="{00000000-0008-0000-0100-00008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45" name="Text Box 40">
          <a:extLst>
            <a:ext uri="{FF2B5EF4-FFF2-40B4-BE49-F238E27FC236}">
              <a16:creationId xmlns:a16="http://schemas.microsoft.com/office/drawing/2014/main" id="{00000000-0008-0000-0100-00008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46" name="Text Box 41">
          <a:extLst>
            <a:ext uri="{FF2B5EF4-FFF2-40B4-BE49-F238E27FC236}">
              <a16:creationId xmlns:a16="http://schemas.microsoft.com/office/drawing/2014/main" id="{00000000-0008-0000-0100-00008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47" name="Text Box 42">
          <a:extLst>
            <a:ext uri="{FF2B5EF4-FFF2-40B4-BE49-F238E27FC236}">
              <a16:creationId xmlns:a16="http://schemas.microsoft.com/office/drawing/2014/main" id="{00000000-0008-0000-0100-00008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48" name="Text Box 43">
          <a:extLst>
            <a:ext uri="{FF2B5EF4-FFF2-40B4-BE49-F238E27FC236}">
              <a16:creationId xmlns:a16="http://schemas.microsoft.com/office/drawing/2014/main" id="{00000000-0008-0000-0100-00008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49" name="Text Box 44">
          <a:extLst>
            <a:ext uri="{FF2B5EF4-FFF2-40B4-BE49-F238E27FC236}">
              <a16:creationId xmlns:a16="http://schemas.microsoft.com/office/drawing/2014/main" id="{00000000-0008-0000-0100-00008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50" name="Text Box 45">
          <a:extLst>
            <a:ext uri="{FF2B5EF4-FFF2-40B4-BE49-F238E27FC236}">
              <a16:creationId xmlns:a16="http://schemas.microsoft.com/office/drawing/2014/main" id="{00000000-0008-0000-0100-00008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51" name="Text Box 46">
          <a:extLst>
            <a:ext uri="{FF2B5EF4-FFF2-40B4-BE49-F238E27FC236}">
              <a16:creationId xmlns:a16="http://schemas.microsoft.com/office/drawing/2014/main" id="{00000000-0008-0000-0100-00008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52" name="Text Box 47">
          <a:extLst>
            <a:ext uri="{FF2B5EF4-FFF2-40B4-BE49-F238E27FC236}">
              <a16:creationId xmlns:a16="http://schemas.microsoft.com/office/drawing/2014/main" id="{00000000-0008-0000-0100-00008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53" name="Text Box 48">
          <a:extLst>
            <a:ext uri="{FF2B5EF4-FFF2-40B4-BE49-F238E27FC236}">
              <a16:creationId xmlns:a16="http://schemas.microsoft.com/office/drawing/2014/main" id="{00000000-0008-0000-0100-00008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54" name="Text Box 49">
          <a:extLst>
            <a:ext uri="{FF2B5EF4-FFF2-40B4-BE49-F238E27FC236}">
              <a16:creationId xmlns:a16="http://schemas.microsoft.com/office/drawing/2014/main" id="{00000000-0008-0000-0100-00008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55" name="Text Box 50">
          <a:extLst>
            <a:ext uri="{FF2B5EF4-FFF2-40B4-BE49-F238E27FC236}">
              <a16:creationId xmlns:a16="http://schemas.microsoft.com/office/drawing/2014/main" id="{00000000-0008-0000-0100-00008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56" name="Text Box 51">
          <a:extLst>
            <a:ext uri="{FF2B5EF4-FFF2-40B4-BE49-F238E27FC236}">
              <a16:creationId xmlns:a16="http://schemas.microsoft.com/office/drawing/2014/main" id="{00000000-0008-0000-0100-00009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57" name="Text Box 52">
          <a:extLst>
            <a:ext uri="{FF2B5EF4-FFF2-40B4-BE49-F238E27FC236}">
              <a16:creationId xmlns:a16="http://schemas.microsoft.com/office/drawing/2014/main" id="{00000000-0008-0000-0100-00009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58" name="Text Box 53">
          <a:extLst>
            <a:ext uri="{FF2B5EF4-FFF2-40B4-BE49-F238E27FC236}">
              <a16:creationId xmlns:a16="http://schemas.microsoft.com/office/drawing/2014/main" id="{00000000-0008-0000-0100-00009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59" name="Text Box 54">
          <a:extLst>
            <a:ext uri="{FF2B5EF4-FFF2-40B4-BE49-F238E27FC236}">
              <a16:creationId xmlns:a16="http://schemas.microsoft.com/office/drawing/2014/main" id="{00000000-0008-0000-0100-00009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60" name="Text Box 55">
          <a:extLst>
            <a:ext uri="{FF2B5EF4-FFF2-40B4-BE49-F238E27FC236}">
              <a16:creationId xmlns:a16="http://schemas.microsoft.com/office/drawing/2014/main" id="{00000000-0008-0000-0100-00009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61" name="Text Box 56">
          <a:extLst>
            <a:ext uri="{FF2B5EF4-FFF2-40B4-BE49-F238E27FC236}">
              <a16:creationId xmlns:a16="http://schemas.microsoft.com/office/drawing/2014/main" id="{00000000-0008-0000-0100-00009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62" name="Text Box 57">
          <a:extLst>
            <a:ext uri="{FF2B5EF4-FFF2-40B4-BE49-F238E27FC236}">
              <a16:creationId xmlns:a16="http://schemas.microsoft.com/office/drawing/2014/main" id="{00000000-0008-0000-0100-00009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63" name="Text Box 58">
          <a:extLst>
            <a:ext uri="{FF2B5EF4-FFF2-40B4-BE49-F238E27FC236}">
              <a16:creationId xmlns:a16="http://schemas.microsoft.com/office/drawing/2014/main" id="{00000000-0008-0000-0100-00009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64" name="Text Box 59">
          <a:extLst>
            <a:ext uri="{FF2B5EF4-FFF2-40B4-BE49-F238E27FC236}">
              <a16:creationId xmlns:a16="http://schemas.microsoft.com/office/drawing/2014/main" id="{00000000-0008-0000-0100-00009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65" name="Text Box 60">
          <a:extLst>
            <a:ext uri="{FF2B5EF4-FFF2-40B4-BE49-F238E27FC236}">
              <a16:creationId xmlns:a16="http://schemas.microsoft.com/office/drawing/2014/main" id="{00000000-0008-0000-0100-00009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66" name="Text Box 61">
          <a:extLst>
            <a:ext uri="{FF2B5EF4-FFF2-40B4-BE49-F238E27FC236}">
              <a16:creationId xmlns:a16="http://schemas.microsoft.com/office/drawing/2014/main" id="{00000000-0008-0000-0100-00009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67" name="Text Box 62">
          <a:extLst>
            <a:ext uri="{FF2B5EF4-FFF2-40B4-BE49-F238E27FC236}">
              <a16:creationId xmlns:a16="http://schemas.microsoft.com/office/drawing/2014/main" id="{00000000-0008-0000-0100-00009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68" name="Text Box 63">
          <a:extLst>
            <a:ext uri="{FF2B5EF4-FFF2-40B4-BE49-F238E27FC236}">
              <a16:creationId xmlns:a16="http://schemas.microsoft.com/office/drawing/2014/main" id="{00000000-0008-0000-0100-00009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69" name="Text Box 64">
          <a:extLst>
            <a:ext uri="{FF2B5EF4-FFF2-40B4-BE49-F238E27FC236}">
              <a16:creationId xmlns:a16="http://schemas.microsoft.com/office/drawing/2014/main" id="{00000000-0008-0000-0100-00009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70" name="Text Box 65">
          <a:extLst>
            <a:ext uri="{FF2B5EF4-FFF2-40B4-BE49-F238E27FC236}">
              <a16:creationId xmlns:a16="http://schemas.microsoft.com/office/drawing/2014/main" id="{00000000-0008-0000-0100-00009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71" name="Text Box 66">
          <a:extLst>
            <a:ext uri="{FF2B5EF4-FFF2-40B4-BE49-F238E27FC236}">
              <a16:creationId xmlns:a16="http://schemas.microsoft.com/office/drawing/2014/main" id="{00000000-0008-0000-0100-00009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72" name="Text Box 67">
          <a:extLst>
            <a:ext uri="{FF2B5EF4-FFF2-40B4-BE49-F238E27FC236}">
              <a16:creationId xmlns:a16="http://schemas.microsoft.com/office/drawing/2014/main" id="{00000000-0008-0000-0100-0000A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73" name="Text Box 68">
          <a:extLst>
            <a:ext uri="{FF2B5EF4-FFF2-40B4-BE49-F238E27FC236}">
              <a16:creationId xmlns:a16="http://schemas.microsoft.com/office/drawing/2014/main" id="{00000000-0008-0000-0100-0000A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74" name="Text Box 69">
          <a:extLst>
            <a:ext uri="{FF2B5EF4-FFF2-40B4-BE49-F238E27FC236}">
              <a16:creationId xmlns:a16="http://schemas.microsoft.com/office/drawing/2014/main" id="{00000000-0008-0000-0100-0000A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75" name="Text Box 70">
          <a:extLst>
            <a:ext uri="{FF2B5EF4-FFF2-40B4-BE49-F238E27FC236}">
              <a16:creationId xmlns:a16="http://schemas.microsoft.com/office/drawing/2014/main" id="{00000000-0008-0000-0100-0000A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76" name="Text Box 71">
          <a:extLst>
            <a:ext uri="{FF2B5EF4-FFF2-40B4-BE49-F238E27FC236}">
              <a16:creationId xmlns:a16="http://schemas.microsoft.com/office/drawing/2014/main" id="{00000000-0008-0000-0100-0000A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77" name="Text Box 72">
          <a:extLst>
            <a:ext uri="{FF2B5EF4-FFF2-40B4-BE49-F238E27FC236}">
              <a16:creationId xmlns:a16="http://schemas.microsoft.com/office/drawing/2014/main" id="{00000000-0008-0000-0100-0000A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78" name="Text Box 73">
          <a:extLst>
            <a:ext uri="{FF2B5EF4-FFF2-40B4-BE49-F238E27FC236}">
              <a16:creationId xmlns:a16="http://schemas.microsoft.com/office/drawing/2014/main" id="{00000000-0008-0000-0100-0000A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79" name="Text Box 74">
          <a:extLst>
            <a:ext uri="{FF2B5EF4-FFF2-40B4-BE49-F238E27FC236}">
              <a16:creationId xmlns:a16="http://schemas.microsoft.com/office/drawing/2014/main" id="{00000000-0008-0000-0100-0000A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80" name="Text Box 75">
          <a:extLst>
            <a:ext uri="{FF2B5EF4-FFF2-40B4-BE49-F238E27FC236}">
              <a16:creationId xmlns:a16="http://schemas.microsoft.com/office/drawing/2014/main" id="{00000000-0008-0000-0100-0000A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81" name="Text Box 76">
          <a:extLst>
            <a:ext uri="{FF2B5EF4-FFF2-40B4-BE49-F238E27FC236}">
              <a16:creationId xmlns:a16="http://schemas.microsoft.com/office/drawing/2014/main" id="{00000000-0008-0000-0100-0000A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82" name="Text Box 77">
          <a:extLst>
            <a:ext uri="{FF2B5EF4-FFF2-40B4-BE49-F238E27FC236}">
              <a16:creationId xmlns:a16="http://schemas.microsoft.com/office/drawing/2014/main" id="{00000000-0008-0000-0100-0000A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83" name="Text Box 78">
          <a:extLst>
            <a:ext uri="{FF2B5EF4-FFF2-40B4-BE49-F238E27FC236}">
              <a16:creationId xmlns:a16="http://schemas.microsoft.com/office/drawing/2014/main" id="{00000000-0008-0000-0100-0000A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84" name="Text Box 79">
          <a:extLst>
            <a:ext uri="{FF2B5EF4-FFF2-40B4-BE49-F238E27FC236}">
              <a16:creationId xmlns:a16="http://schemas.microsoft.com/office/drawing/2014/main" id="{00000000-0008-0000-0100-0000A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85" name="Text Box 80">
          <a:extLst>
            <a:ext uri="{FF2B5EF4-FFF2-40B4-BE49-F238E27FC236}">
              <a16:creationId xmlns:a16="http://schemas.microsoft.com/office/drawing/2014/main" id="{00000000-0008-0000-0100-0000A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86" name="Text Box 81">
          <a:extLst>
            <a:ext uri="{FF2B5EF4-FFF2-40B4-BE49-F238E27FC236}">
              <a16:creationId xmlns:a16="http://schemas.microsoft.com/office/drawing/2014/main" id="{00000000-0008-0000-0100-0000A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87" name="Text Box 82">
          <a:extLst>
            <a:ext uri="{FF2B5EF4-FFF2-40B4-BE49-F238E27FC236}">
              <a16:creationId xmlns:a16="http://schemas.microsoft.com/office/drawing/2014/main" id="{00000000-0008-0000-0100-0000A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88" name="Text Box 83">
          <a:extLst>
            <a:ext uri="{FF2B5EF4-FFF2-40B4-BE49-F238E27FC236}">
              <a16:creationId xmlns:a16="http://schemas.microsoft.com/office/drawing/2014/main" id="{00000000-0008-0000-0100-0000B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89" name="Text Box 84">
          <a:extLst>
            <a:ext uri="{FF2B5EF4-FFF2-40B4-BE49-F238E27FC236}">
              <a16:creationId xmlns:a16="http://schemas.microsoft.com/office/drawing/2014/main" id="{00000000-0008-0000-0100-0000B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90" name="Text Box 85">
          <a:extLst>
            <a:ext uri="{FF2B5EF4-FFF2-40B4-BE49-F238E27FC236}">
              <a16:creationId xmlns:a16="http://schemas.microsoft.com/office/drawing/2014/main" id="{00000000-0008-0000-0100-0000B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91" name="Text Box 86">
          <a:extLst>
            <a:ext uri="{FF2B5EF4-FFF2-40B4-BE49-F238E27FC236}">
              <a16:creationId xmlns:a16="http://schemas.microsoft.com/office/drawing/2014/main" id="{00000000-0008-0000-0100-0000B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92" name="Text Box 87">
          <a:extLst>
            <a:ext uri="{FF2B5EF4-FFF2-40B4-BE49-F238E27FC236}">
              <a16:creationId xmlns:a16="http://schemas.microsoft.com/office/drawing/2014/main" id="{00000000-0008-0000-0100-0000B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93" name="Text Box 88">
          <a:extLst>
            <a:ext uri="{FF2B5EF4-FFF2-40B4-BE49-F238E27FC236}">
              <a16:creationId xmlns:a16="http://schemas.microsoft.com/office/drawing/2014/main" id="{00000000-0008-0000-0100-0000B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94" name="Text Box 89">
          <a:extLst>
            <a:ext uri="{FF2B5EF4-FFF2-40B4-BE49-F238E27FC236}">
              <a16:creationId xmlns:a16="http://schemas.microsoft.com/office/drawing/2014/main" id="{00000000-0008-0000-0100-0000B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95" name="Text Box 90">
          <a:extLst>
            <a:ext uri="{FF2B5EF4-FFF2-40B4-BE49-F238E27FC236}">
              <a16:creationId xmlns:a16="http://schemas.microsoft.com/office/drawing/2014/main" id="{00000000-0008-0000-0100-0000B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96" name="Text Box 91">
          <a:extLst>
            <a:ext uri="{FF2B5EF4-FFF2-40B4-BE49-F238E27FC236}">
              <a16:creationId xmlns:a16="http://schemas.microsoft.com/office/drawing/2014/main" id="{00000000-0008-0000-0100-0000B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97" name="Text Box 92">
          <a:extLst>
            <a:ext uri="{FF2B5EF4-FFF2-40B4-BE49-F238E27FC236}">
              <a16:creationId xmlns:a16="http://schemas.microsoft.com/office/drawing/2014/main" id="{00000000-0008-0000-0100-0000B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98" name="Text Box 93">
          <a:extLst>
            <a:ext uri="{FF2B5EF4-FFF2-40B4-BE49-F238E27FC236}">
              <a16:creationId xmlns:a16="http://schemas.microsoft.com/office/drawing/2014/main" id="{00000000-0008-0000-0100-0000B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699" name="Text Box 94">
          <a:extLst>
            <a:ext uri="{FF2B5EF4-FFF2-40B4-BE49-F238E27FC236}">
              <a16:creationId xmlns:a16="http://schemas.microsoft.com/office/drawing/2014/main" id="{00000000-0008-0000-0100-0000B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00" name="Text Box 95">
          <a:extLst>
            <a:ext uri="{FF2B5EF4-FFF2-40B4-BE49-F238E27FC236}">
              <a16:creationId xmlns:a16="http://schemas.microsoft.com/office/drawing/2014/main" id="{00000000-0008-0000-0100-0000B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01" name="Text Box 96">
          <a:extLst>
            <a:ext uri="{FF2B5EF4-FFF2-40B4-BE49-F238E27FC236}">
              <a16:creationId xmlns:a16="http://schemas.microsoft.com/office/drawing/2014/main" id="{00000000-0008-0000-0100-0000B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02" name="Text Box 97">
          <a:extLst>
            <a:ext uri="{FF2B5EF4-FFF2-40B4-BE49-F238E27FC236}">
              <a16:creationId xmlns:a16="http://schemas.microsoft.com/office/drawing/2014/main" id="{00000000-0008-0000-0100-0000B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03" name="Text Box 98">
          <a:extLst>
            <a:ext uri="{FF2B5EF4-FFF2-40B4-BE49-F238E27FC236}">
              <a16:creationId xmlns:a16="http://schemas.microsoft.com/office/drawing/2014/main" id="{00000000-0008-0000-0100-0000B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04" name="Text Box 99">
          <a:extLst>
            <a:ext uri="{FF2B5EF4-FFF2-40B4-BE49-F238E27FC236}">
              <a16:creationId xmlns:a16="http://schemas.microsoft.com/office/drawing/2014/main" id="{00000000-0008-0000-0100-0000C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05" name="Text Box 100">
          <a:extLst>
            <a:ext uri="{FF2B5EF4-FFF2-40B4-BE49-F238E27FC236}">
              <a16:creationId xmlns:a16="http://schemas.microsoft.com/office/drawing/2014/main" id="{00000000-0008-0000-0100-0000C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06" name="Text Box 101">
          <a:extLst>
            <a:ext uri="{FF2B5EF4-FFF2-40B4-BE49-F238E27FC236}">
              <a16:creationId xmlns:a16="http://schemas.microsoft.com/office/drawing/2014/main" id="{00000000-0008-0000-0100-0000C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07" name="Text Box 102">
          <a:extLst>
            <a:ext uri="{FF2B5EF4-FFF2-40B4-BE49-F238E27FC236}">
              <a16:creationId xmlns:a16="http://schemas.microsoft.com/office/drawing/2014/main" id="{00000000-0008-0000-0100-0000C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08" name="Text Box 103">
          <a:extLst>
            <a:ext uri="{FF2B5EF4-FFF2-40B4-BE49-F238E27FC236}">
              <a16:creationId xmlns:a16="http://schemas.microsoft.com/office/drawing/2014/main" id="{00000000-0008-0000-0100-0000C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09" name="Text Box 104">
          <a:extLst>
            <a:ext uri="{FF2B5EF4-FFF2-40B4-BE49-F238E27FC236}">
              <a16:creationId xmlns:a16="http://schemas.microsoft.com/office/drawing/2014/main" id="{00000000-0008-0000-0100-0000C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10" name="Text Box 105">
          <a:extLst>
            <a:ext uri="{FF2B5EF4-FFF2-40B4-BE49-F238E27FC236}">
              <a16:creationId xmlns:a16="http://schemas.microsoft.com/office/drawing/2014/main" id="{00000000-0008-0000-0100-0000C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11" name="Text Box 106">
          <a:extLst>
            <a:ext uri="{FF2B5EF4-FFF2-40B4-BE49-F238E27FC236}">
              <a16:creationId xmlns:a16="http://schemas.microsoft.com/office/drawing/2014/main" id="{00000000-0008-0000-0100-0000C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12" name="Text Box 107">
          <a:extLst>
            <a:ext uri="{FF2B5EF4-FFF2-40B4-BE49-F238E27FC236}">
              <a16:creationId xmlns:a16="http://schemas.microsoft.com/office/drawing/2014/main" id="{00000000-0008-0000-0100-0000C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13" name="Text Box 108">
          <a:extLst>
            <a:ext uri="{FF2B5EF4-FFF2-40B4-BE49-F238E27FC236}">
              <a16:creationId xmlns:a16="http://schemas.microsoft.com/office/drawing/2014/main" id="{00000000-0008-0000-0100-0000C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14" name="Text Box 109">
          <a:extLst>
            <a:ext uri="{FF2B5EF4-FFF2-40B4-BE49-F238E27FC236}">
              <a16:creationId xmlns:a16="http://schemas.microsoft.com/office/drawing/2014/main" id="{00000000-0008-0000-0100-0000C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15" name="Text Box 110">
          <a:extLst>
            <a:ext uri="{FF2B5EF4-FFF2-40B4-BE49-F238E27FC236}">
              <a16:creationId xmlns:a16="http://schemas.microsoft.com/office/drawing/2014/main" id="{00000000-0008-0000-0100-0000C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16" name="Text Box 111">
          <a:extLst>
            <a:ext uri="{FF2B5EF4-FFF2-40B4-BE49-F238E27FC236}">
              <a16:creationId xmlns:a16="http://schemas.microsoft.com/office/drawing/2014/main" id="{00000000-0008-0000-0100-0000C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17" name="Text Box 112">
          <a:extLst>
            <a:ext uri="{FF2B5EF4-FFF2-40B4-BE49-F238E27FC236}">
              <a16:creationId xmlns:a16="http://schemas.microsoft.com/office/drawing/2014/main" id="{00000000-0008-0000-0100-0000C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18" name="Text Box 113">
          <a:extLst>
            <a:ext uri="{FF2B5EF4-FFF2-40B4-BE49-F238E27FC236}">
              <a16:creationId xmlns:a16="http://schemas.microsoft.com/office/drawing/2014/main" id="{00000000-0008-0000-0100-0000C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19" name="Text Box 114">
          <a:extLst>
            <a:ext uri="{FF2B5EF4-FFF2-40B4-BE49-F238E27FC236}">
              <a16:creationId xmlns:a16="http://schemas.microsoft.com/office/drawing/2014/main" id="{00000000-0008-0000-0100-0000C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20" name="Text Box 115">
          <a:extLst>
            <a:ext uri="{FF2B5EF4-FFF2-40B4-BE49-F238E27FC236}">
              <a16:creationId xmlns:a16="http://schemas.microsoft.com/office/drawing/2014/main" id="{00000000-0008-0000-0100-0000D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21" name="Text Box 116">
          <a:extLst>
            <a:ext uri="{FF2B5EF4-FFF2-40B4-BE49-F238E27FC236}">
              <a16:creationId xmlns:a16="http://schemas.microsoft.com/office/drawing/2014/main" id="{00000000-0008-0000-0100-0000D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22" name="Text Box 117">
          <a:extLst>
            <a:ext uri="{FF2B5EF4-FFF2-40B4-BE49-F238E27FC236}">
              <a16:creationId xmlns:a16="http://schemas.microsoft.com/office/drawing/2014/main" id="{00000000-0008-0000-0100-0000D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23" name="Text Box 118">
          <a:extLst>
            <a:ext uri="{FF2B5EF4-FFF2-40B4-BE49-F238E27FC236}">
              <a16:creationId xmlns:a16="http://schemas.microsoft.com/office/drawing/2014/main" id="{00000000-0008-0000-0100-0000D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24" name="Text Box 119">
          <a:extLst>
            <a:ext uri="{FF2B5EF4-FFF2-40B4-BE49-F238E27FC236}">
              <a16:creationId xmlns:a16="http://schemas.microsoft.com/office/drawing/2014/main" id="{00000000-0008-0000-0100-0000D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25" name="Text Box 120">
          <a:extLst>
            <a:ext uri="{FF2B5EF4-FFF2-40B4-BE49-F238E27FC236}">
              <a16:creationId xmlns:a16="http://schemas.microsoft.com/office/drawing/2014/main" id="{00000000-0008-0000-0100-0000D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26" name="Text Box 121">
          <a:extLst>
            <a:ext uri="{FF2B5EF4-FFF2-40B4-BE49-F238E27FC236}">
              <a16:creationId xmlns:a16="http://schemas.microsoft.com/office/drawing/2014/main" id="{00000000-0008-0000-0100-0000D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27" name="Text Box 122">
          <a:extLst>
            <a:ext uri="{FF2B5EF4-FFF2-40B4-BE49-F238E27FC236}">
              <a16:creationId xmlns:a16="http://schemas.microsoft.com/office/drawing/2014/main" id="{00000000-0008-0000-0100-0000D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28" name="Text Box 123">
          <a:extLst>
            <a:ext uri="{FF2B5EF4-FFF2-40B4-BE49-F238E27FC236}">
              <a16:creationId xmlns:a16="http://schemas.microsoft.com/office/drawing/2014/main" id="{00000000-0008-0000-0100-0000D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29" name="Text Box 124">
          <a:extLst>
            <a:ext uri="{FF2B5EF4-FFF2-40B4-BE49-F238E27FC236}">
              <a16:creationId xmlns:a16="http://schemas.microsoft.com/office/drawing/2014/main" id="{00000000-0008-0000-0100-0000D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30" name="Text Box 125">
          <a:extLst>
            <a:ext uri="{FF2B5EF4-FFF2-40B4-BE49-F238E27FC236}">
              <a16:creationId xmlns:a16="http://schemas.microsoft.com/office/drawing/2014/main" id="{00000000-0008-0000-0100-0000D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31" name="Text Box 126">
          <a:extLst>
            <a:ext uri="{FF2B5EF4-FFF2-40B4-BE49-F238E27FC236}">
              <a16:creationId xmlns:a16="http://schemas.microsoft.com/office/drawing/2014/main" id="{00000000-0008-0000-0100-0000D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32" name="Text Box 127">
          <a:extLst>
            <a:ext uri="{FF2B5EF4-FFF2-40B4-BE49-F238E27FC236}">
              <a16:creationId xmlns:a16="http://schemas.microsoft.com/office/drawing/2014/main" id="{00000000-0008-0000-0100-0000D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33" name="Text Box 128">
          <a:extLst>
            <a:ext uri="{FF2B5EF4-FFF2-40B4-BE49-F238E27FC236}">
              <a16:creationId xmlns:a16="http://schemas.microsoft.com/office/drawing/2014/main" id="{00000000-0008-0000-0100-0000D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34" name="Text Box 129">
          <a:extLst>
            <a:ext uri="{FF2B5EF4-FFF2-40B4-BE49-F238E27FC236}">
              <a16:creationId xmlns:a16="http://schemas.microsoft.com/office/drawing/2014/main" id="{00000000-0008-0000-0100-0000D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35" name="Text Box 130">
          <a:extLst>
            <a:ext uri="{FF2B5EF4-FFF2-40B4-BE49-F238E27FC236}">
              <a16:creationId xmlns:a16="http://schemas.microsoft.com/office/drawing/2014/main" id="{00000000-0008-0000-0100-0000D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36" name="Text Box 131">
          <a:extLst>
            <a:ext uri="{FF2B5EF4-FFF2-40B4-BE49-F238E27FC236}">
              <a16:creationId xmlns:a16="http://schemas.microsoft.com/office/drawing/2014/main" id="{00000000-0008-0000-0100-0000E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37" name="Text Box 132">
          <a:extLst>
            <a:ext uri="{FF2B5EF4-FFF2-40B4-BE49-F238E27FC236}">
              <a16:creationId xmlns:a16="http://schemas.microsoft.com/office/drawing/2014/main" id="{00000000-0008-0000-0100-0000E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38" name="Text Box 133">
          <a:extLst>
            <a:ext uri="{FF2B5EF4-FFF2-40B4-BE49-F238E27FC236}">
              <a16:creationId xmlns:a16="http://schemas.microsoft.com/office/drawing/2014/main" id="{00000000-0008-0000-0100-0000E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39" name="Text Box 134">
          <a:extLst>
            <a:ext uri="{FF2B5EF4-FFF2-40B4-BE49-F238E27FC236}">
              <a16:creationId xmlns:a16="http://schemas.microsoft.com/office/drawing/2014/main" id="{00000000-0008-0000-0100-0000E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40" name="Text Box 135">
          <a:extLst>
            <a:ext uri="{FF2B5EF4-FFF2-40B4-BE49-F238E27FC236}">
              <a16:creationId xmlns:a16="http://schemas.microsoft.com/office/drawing/2014/main" id="{00000000-0008-0000-0100-0000E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41" name="Text Box 136">
          <a:extLst>
            <a:ext uri="{FF2B5EF4-FFF2-40B4-BE49-F238E27FC236}">
              <a16:creationId xmlns:a16="http://schemas.microsoft.com/office/drawing/2014/main" id="{00000000-0008-0000-0100-0000E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42" name="Text Box 137">
          <a:extLst>
            <a:ext uri="{FF2B5EF4-FFF2-40B4-BE49-F238E27FC236}">
              <a16:creationId xmlns:a16="http://schemas.microsoft.com/office/drawing/2014/main" id="{00000000-0008-0000-0100-0000E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43" name="Text Box 138">
          <a:extLst>
            <a:ext uri="{FF2B5EF4-FFF2-40B4-BE49-F238E27FC236}">
              <a16:creationId xmlns:a16="http://schemas.microsoft.com/office/drawing/2014/main" id="{00000000-0008-0000-0100-0000E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44" name="Text Box 139">
          <a:extLst>
            <a:ext uri="{FF2B5EF4-FFF2-40B4-BE49-F238E27FC236}">
              <a16:creationId xmlns:a16="http://schemas.microsoft.com/office/drawing/2014/main" id="{00000000-0008-0000-0100-0000E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45" name="Text Box 140">
          <a:extLst>
            <a:ext uri="{FF2B5EF4-FFF2-40B4-BE49-F238E27FC236}">
              <a16:creationId xmlns:a16="http://schemas.microsoft.com/office/drawing/2014/main" id="{00000000-0008-0000-0100-0000E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46" name="Text Box 141">
          <a:extLst>
            <a:ext uri="{FF2B5EF4-FFF2-40B4-BE49-F238E27FC236}">
              <a16:creationId xmlns:a16="http://schemas.microsoft.com/office/drawing/2014/main" id="{00000000-0008-0000-0100-0000E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47" name="Text Box 142">
          <a:extLst>
            <a:ext uri="{FF2B5EF4-FFF2-40B4-BE49-F238E27FC236}">
              <a16:creationId xmlns:a16="http://schemas.microsoft.com/office/drawing/2014/main" id="{00000000-0008-0000-0100-0000E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48" name="Text Box 143">
          <a:extLst>
            <a:ext uri="{FF2B5EF4-FFF2-40B4-BE49-F238E27FC236}">
              <a16:creationId xmlns:a16="http://schemas.microsoft.com/office/drawing/2014/main" id="{00000000-0008-0000-0100-0000E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49" name="Text Box 144">
          <a:extLst>
            <a:ext uri="{FF2B5EF4-FFF2-40B4-BE49-F238E27FC236}">
              <a16:creationId xmlns:a16="http://schemas.microsoft.com/office/drawing/2014/main" id="{00000000-0008-0000-0100-0000E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50" name="Text Box 146">
          <a:extLst>
            <a:ext uri="{FF2B5EF4-FFF2-40B4-BE49-F238E27FC236}">
              <a16:creationId xmlns:a16="http://schemas.microsoft.com/office/drawing/2014/main" id="{00000000-0008-0000-0100-0000E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51" name="Text Box 147">
          <a:extLst>
            <a:ext uri="{FF2B5EF4-FFF2-40B4-BE49-F238E27FC236}">
              <a16:creationId xmlns:a16="http://schemas.microsoft.com/office/drawing/2014/main" id="{00000000-0008-0000-0100-0000E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52" name="Text Box 148">
          <a:extLst>
            <a:ext uri="{FF2B5EF4-FFF2-40B4-BE49-F238E27FC236}">
              <a16:creationId xmlns:a16="http://schemas.microsoft.com/office/drawing/2014/main" id="{00000000-0008-0000-0100-0000F0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53" name="Text Box 149">
          <a:extLst>
            <a:ext uri="{FF2B5EF4-FFF2-40B4-BE49-F238E27FC236}">
              <a16:creationId xmlns:a16="http://schemas.microsoft.com/office/drawing/2014/main" id="{00000000-0008-0000-0100-0000F1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54" name="Text Box 150">
          <a:extLst>
            <a:ext uri="{FF2B5EF4-FFF2-40B4-BE49-F238E27FC236}">
              <a16:creationId xmlns:a16="http://schemas.microsoft.com/office/drawing/2014/main" id="{00000000-0008-0000-0100-0000F2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55" name="Text Box 151">
          <a:extLst>
            <a:ext uri="{FF2B5EF4-FFF2-40B4-BE49-F238E27FC236}">
              <a16:creationId xmlns:a16="http://schemas.microsoft.com/office/drawing/2014/main" id="{00000000-0008-0000-0100-0000F3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56" name="Text Box 152">
          <a:extLst>
            <a:ext uri="{FF2B5EF4-FFF2-40B4-BE49-F238E27FC236}">
              <a16:creationId xmlns:a16="http://schemas.microsoft.com/office/drawing/2014/main" id="{00000000-0008-0000-0100-0000F4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57" name="Text Box 153">
          <a:extLst>
            <a:ext uri="{FF2B5EF4-FFF2-40B4-BE49-F238E27FC236}">
              <a16:creationId xmlns:a16="http://schemas.microsoft.com/office/drawing/2014/main" id="{00000000-0008-0000-0100-0000F5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58" name="Text Box 154">
          <a:extLst>
            <a:ext uri="{FF2B5EF4-FFF2-40B4-BE49-F238E27FC236}">
              <a16:creationId xmlns:a16="http://schemas.microsoft.com/office/drawing/2014/main" id="{00000000-0008-0000-0100-0000F6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59" name="Text Box 155">
          <a:extLst>
            <a:ext uri="{FF2B5EF4-FFF2-40B4-BE49-F238E27FC236}">
              <a16:creationId xmlns:a16="http://schemas.microsoft.com/office/drawing/2014/main" id="{00000000-0008-0000-0100-0000F7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60" name="Text Box 156">
          <a:extLst>
            <a:ext uri="{FF2B5EF4-FFF2-40B4-BE49-F238E27FC236}">
              <a16:creationId xmlns:a16="http://schemas.microsoft.com/office/drawing/2014/main" id="{00000000-0008-0000-0100-0000F8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61" name="Text Box 157">
          <a:extLst>
            <a:ext uri="{FF2B5EF4-FFF2-40B4-BE49-F238E27FC236}">
              <a16:creationId xmlns:a16="http://schemas.microsoft.com/office/drawing/2014/main" id="{00000000-0008-0000-0100-0000F9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62" name="Text Box 158">
          <a:extLst>
            <a:ext uri="{FF2B5EF4-FFF2-40B4-BE49-F238E27FC236}">
              <a16:creationId xmlns:a16="http://schemas.microsoft.com/office/drawing/2014/main" id="{00000000-0008-0000-0100-0000FA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63" name="Text Box 159">
          <a:extLst>
            <a:ext uri="{FF2B5EF4-FFF2-40B4-BE49-F238E27FC236}">
              <a16:creationId xmlns:a16="http://schemas.microsoft.com/office/drawing/2014/main" id="{00000000-0008-0000-0100-0000FB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64" name="Text Box 160">
          <a:extLst>
            <a:ext uri="{FF2B5EF4-FFF2-40B4-BE49-F238E27FC236}">
              <a16:creationId xmlns:a16="http://schemas.microsoft.com/office/drawing/2014/main" id="{00000000-0008-0000-0100-0000FC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65" name="Text Box 161">
          <a:extLst>
            <a:ext uri="{FF2B5EF4-FFF2-40B4-BE49-F238E27FC236}">
              <a16:creationId xmlns:a16="http://schemas.microsoft.com/office/drawing/2014/main" id="{00000000-0008-0000-0100-0000FD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66" name="Text Box 162">
          <a:extLst>
            <a:ext uri="{FF2B5EF4-FFF2-40B4-BE49-F238E27FC236}">
              <a16:creationId xmlns:a16="http://schemas.microsoft.com/office/drawing/2014/main" id="{00000000-0008-0000-0100-0000FE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67" name="Text Box 163">
          <a:extLst>
            <a:ext uri="{FF2B5EF4-FFF2-40B4-BE49-F238E27FC236}">
              <a16:creationId xmlns:a16="http://schemas.microsoft.com/office/drawing/2014/main" id="{00000000-0008-0000-0100-0000FF02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68" name="Text Box 164">
          <a:extLst>
            <a:ext uri="{FF2B5EF4-FFF2-40B4-BE49-F238E27FC236}">
              <a16:creationId xmlns:a16="http://schemas.microsoft.com/office/drawing/2014/main" id="{00000000-0008-0000-0100-000000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69" name="Text Box 165">
          <a:extLst>
            <a:ext uri="{FF2B5EF4-FFF2-40B4-BE49-F238E27FC236}">
              <a16:creationId xmlns:a16="http://schemas.microsoft.com/office/drawing/2014/main" id="{00000000-0008-0000-0100-000001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70" name="Text Box 166">
          <a:extLst>
            <a:ext uri="{FF2B5EF4-FFF2-40B4-BE49-F238E27FC236}">
              <a16:creationId xmlns:a16="http://schemas.microsoft.com/office/drawing/2014/main" id="{00000000-0008-0000-0100-000002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71" name="Text Box 167">
          <a:extLst>
            <a:ext uri="{FF2B5EF4-FFF2-40B4-BE49-F238E27FC236}">
              <a16:creationId xmlns:a16="http://schemas.microsoft.com/office/drawing/2014/main" id="{00000000-0008-0000-0100-000003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72" name="Text Box 168">
          <a:extLst>
            <a:ext uri="{FF2B5EF4-FFF2-40B4-BE49-F238E27FC236}">
              <a16:creationId xmlns:a16="http://schemas.microsoft.com/office/drawing/2014/main" id="{00000000-0008-0000-0100-000004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73" name="Text Box 169">
          <a:extLst>
            <a:ext uri="{FF2B5EF4-FFF2-40B4-BE49-F238E27FC236}">
              <a16:creationId xmlns:a16="http://schemas.microsoft.com/office/drawing/2014/main" id="{00000000-0008-0000-0100-000005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74" name="Text Box 170">
          <a:extLst>
            <a:ext uri="{FF2B5EF4-FFF2-40B4-BE49-F238E27FC236}">
              <a16:creationId xmlns:a16="http://schemas.microsoft.com/office/drawing/2014/main" id="{00000000-0008-0000-0100-000006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75" name="Text Box 171">
          <a:extLst>
            <a:ext uri="{FF2B5EF4-FFF2-40B4-BE49-F238E27FC236}">
              <a16:creationId xmlns:a16="http://schemas.microsoft.com/office/drawing/2014/main" id="{00000000-0008-0000-0100-000007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76" name="Text Box 172">
          <a:extLst>
            <a:ext uri="{FF2B5EF4-FFF2-40B4-BE49-F238E27FC236}">
              <a16:creationId xmlns:a16="http://schemas.microsoft.com/office/drawing/2014/main" id="{00000000-0008-0000-0100-000008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77" name="Text Box 173">
          <a:extLst>
            <a:ext uri="{FF2B5EF4-FFF2-40B4-BE49-F238E27FC236}">
              <a16:creationId xmlns:a16="http://schemas.microsoft.com/office/drawing/2014/main" id="{00000000-0008-0000-0100-000009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78" name="Text Box 174">
          <a:extLst>
            <a:ext uri="{FF2B5EF4-FFF2-40B4-BE49-F238E27FC236}">
              <a16:creationId xmlns:a16="http://schemas.microsoft.com/office/drawing/2014/main" id="{00000000-0008-0000-0100-00000A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79" name="Text Box 175">
          <a:extLst>
            <a:ext uri="{FF2B5EF4-FFF2-40B4-BE49-F238E27FC236}">
              <a16:creationId xmlns:a16="http://schemas.microsoft.com/office/drawing/2014/main" id="{00000000-0008-0000-0100-00000B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80" name="Text Box 176">
          <a:extLst>
            <a:ext uri="{FF2B5EF4-FFF2-40B4-BE49-F238E27FC236}">
              <a16:creationId xmlns:a16="http://schemas.microsoft.com/office/drawing/2014/main" id="{00000000-0008-0000-0100-00000C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81" name="Text Box 177">
          <a:extLst>
            <a:ext uri="{FF2B5EF4-FFF2-40B4-BE49-F238E27FC236}">
              <a16:creationId xmlns:a16="http://schemas.microsoft.com/office/drawing/2014/main" id="{00000000-0008-0000-0100-00000D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82" name="Text Box 178">
          <a:extLst>
            <a:ext uri="{FF2B5EF4-FFF2-40B4-BE49-F238E27FC236}">
              <a16:creationId xmlns:a16="http://schemas.microsoft.com/office/drawing/2014/main" id="{00000000-0008-0000-0100-00000E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83" name="Text Box 179">
          <a:extLst>
            <a:ext uri="{FF2B5EF4-FFF2-40B4-BE49-F238E27FC236}">
              <a16:creationId xmlns:a16="http://schemas.microsoft.com/office/drawing/2014/main" id="{00000000-0008-0000-0100-00000F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84" name="Text Box 180">
          <a:extLst>
            <a:ext uri="{FF2B5EF4-FFF2-40B4-BE49-F238E27FC236}">
              <a16:creationId xmlns:a16="http://schemas.microsoft.com/office/drawing/2014/main" id="{00000000-0008-0000-0100-000010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85" name="Text Box 181">
          <a:extLst>
            <a:ext uri="{FF2B5EF4-FFF2-40B4-BE49-F238E27FC236}">
              <a16:creationId xmlns:a16="http://schemas.microsoft.com/office/drawing/2014/main" id="{00000000-0008-0000-0100-000011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86" name="Text Box 182">
          <a:extLst>
            <a:ext uri="{FF2B5EF4-FFF2-40B4-BE49-F238E27FC236}">
              <a16:creationId xmlns:a16="http://schemas.microsoft.com/office/drawing/2014/main" id="{00000000-0008-0000-0100-000012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87" name="Text Box 183">
          <a:extLst>
            <a:ext uri="{FF2B5EF4-FFF2-40B4-BE49-F238E27FC236}">
              <a16:creationId xmlns:a16="http://schemas.microsoft.com/office/drawing/2014/main" id="{00000000-0008-0000-0100-000013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88" name="Text Box 184">
          <a:extLst>
            <a:ext uri="{FF2B5EF4-FFF2-40B4-BE49-F238E27FC236}">
              <a16:creationId xmlns:a16="http://schemas.microsoft.com/office/drawing/2014/main" id="{00000000-0008-0000-0100-000014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89" name="Text Box 185">
          <a:extLst>
            <a:ext uri="{FF2B5EF4-FFF2-40B4-BE49-F238E27FC236}">
              <a16:creationId xmlns:a16="http://schemas.microsoft.com/office/drawing/2014/main" id="{00000000-0008-0000-0100-000015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90" name="Text Box 186">
          <a:extLst>
            <a:ext uri="{FF2B5EF4-FFF2-40B4-BE49-F238E27FC236}">
              <a16:creationId xmlns:a16="http://schemas.microsoft.com/office/drawing/2014/main" id="{00000000-0008-0000-0100-000016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91" name="Text Box 187">
          <a:extLst>
            <a:ext uri="{FF2B5EF4-FFF2-40B4-BE49-F238E27FC236}">
              <a16:creationId xmlns:a16="http://schemas.microsoft.com/office/drawing/2014/main" id="{00000000-0008-0000-0100-000017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92" name="Text Box 188">
          <a:extLst>
            <a:ext uri="{FF2B5EF4-FFF2-40B4-BE49-F238E27FC236}">
              <a16:creationId xmlns:a16="http://schemas.microsoft.com/office/drawing/2014/main" id="{00000000-0008-0000-0100-000018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93" name="Text Box 189">
          <a:extLst>
            <a:ext uri="{FF2B5EF4-FFF2-40B4-BE49-F238E27FC236}">
              <a16:creationId xmlns:a16="http://schemas.microsoft.com/office/drawing/2014/main" id="{00000000-0008-0000-0100-000019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94" name="Text Box 190">
          <a:extLst>
            <a:ext uri="{FF2B5EF4-FFF2-40B4-BE49-F238E27FC236}">
              <a16:creationId xmlns:a16="http://schemas.microsoft.com/office/drawing/2014/main" id="{00000000-0008-0000-0100-00001A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95" name="Text Box 191">
          <a:extLst>
            <a:ext uri="{FF2B5EF4-FFF2-40B4-BE49-F238E27FC236}">
              <a16:creationId xmlns:a16="http://schemas.microsoft.com/office/drawing/2014/main" id="{00000000-0008-0000-0100-00001B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96" name="Text Box 192">
          <a:extLst>
            <a:ext uri="{FF2B5EF4-FFF2-40B4-BE49-F238E27FC236}">
              <a16:creationId xmlns:a16="http://schemas.microsoft.com/office/drawing/2014/main" id="{00000000-0008-0000-0100-00001C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97" name="Text Box 193">
          <a:extLst>
            <a:ext uri="{FF2B5EF4-FFF2-40B4-BE49-F238E27FC236}">
              <a16:creationId xmlns:a16="http://schemas.microsoft.com/office/drawing/2014/main" id="{00000000-0008-0000-0100-00001D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98" name="Text Box 194">
          <a:extLst>
            <a:ext uri="{FF2B5EF4-FFF2-40B4-BE49-F238E27FC236}">
              <a16:creationId xmlns:a16="http://schemas.microsoft.com/office/drawing/2014/main" id="{00000000-0008-0000-0100-00001E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799" name="Text Box 195">
          <a:extLst>
            <a:ext uri="{FF2B5EF4-FFF2-40B4-BE49-F238E27FC236}">
              <a16:creationId xmlns:a16="http://schemas.microsoft.com/office/drawing/2014/main" id="{00000000-0008-0000-0100-00001F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00" name="Text Box 196">
          <a:extLst>
            <a:ext uri="{FF2B5EF4-FFF2-40B4-BE49-F238E27FC236}">
              <a16:creationId xmlns:a16="http://schemas.microsoft.com/office/drawing/2014/main" id="{00000000-0008-0000-0100-000020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01" name="Text Box 197">
          <a:extLst>
            <a:ext uri="{FF2B5EF4-FFF2-40B4-BE49-F238E27FC236}">
              <a16:creationId xmlns:a16="http://schemas.microsoft.com/office/drawing/2014/main" id="{00000000-0008-0000-0100-000021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02" name="Text Box 198">
          <a:extLst>
            <a:ext uri="{FF2B5EF4-FFF2-40B4-BE49-F238E27FC236}">
              <a16:creationId xmlns:a16="http://schemas.microsoft.com/office/drawing/2014/main" id="{00000000-0008-0000-0100-000022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03" name="Text Box 199">
          <a:extLst>
            <a:ext uri="{FF2B5EF4-FFF2-40B4-BE49-F238E27FC236}">
              <a16:creationId xmlns:a16="http://schemas.microsoft.com/office/drawing/2014/main" id="{00000000-0008-0000-0100-000023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04" name="Text Box 200">
          <a:extLst>
            <a:ext uri="{FF2B5EF4-FFF2-40B4-BE49-F238E27FC236}">
              <a16:creationId xmlns:a16="http://schemas.microsoft.com/office/drawing/2014/main" id="{00000000-0008-0000-0100-000024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05" name="Text Box 201">
          <a:extLst>
            <a:ext uri="{FF2B5EF4-FFF2-40B4-BE49-F238E27FC236}">
              <a16:creationId xmlns:a16="http://schemas.microsoft.com/office/drawing/2014/main" id="{00000000-0008-0000-0100-000025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06" name="Text Box 202">
          <a:extLst>
            <a:ext uri="{FF2B5EF4-FFF2-40B4-BE49-F238E27FC236}">
              <a16:creationId xmlns:a16="http://schemas.microsoft.com/office/drawing/2014/main" id="{00000000-0008-0000-0100-000026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07" name="Text Box 203">
          <a:extLst>
            <a:ext uri="{FF2B5EF4-FFF2-40B4-BE49-F238E27FC236}">
              <a16:creationId xmlns:a16="http://schemas.microsoft.com/office/drawing/2014/main" id="{00000000-0008-0000-0100-000027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08" name="Text Box 204">
          <a:extLst>
            <a:ext uri="{FF2B5EF4-FFF2-40B4-BE49-F238E27FC236}">
              <a16:creationId xmlns:a16="http://schemas.microsoft.com/office/drawing/2014/main" id="{00000000-0008-0000-0100-000028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09" name="Text Box 205">
          <a:extLst>
            <a:ext uri="{FF2B5EF4-FFF2-40B4-BE49-F238E27FC236}">
              <a16:creationId xmlns:a16="http://schemas.microsoft.com/office/drawing/2014/main" id="{00000000-0008-0000-0100-000029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10" name="Text Box 206">
          <a:extLst>
            <a:ext uri="{FF2B5EF4-FFF2-40B4-BE49-F238E27FC236}">
              <a16:creationId xmlns:a16="http://schemas.microsoft.com/office/drawing/2014/main" id="{00000000-0008-0000-0100-00002A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11" name="Text Box 207">
          <a:extLst>
            <a:ext uri="{FF2B5EF4-FFF2-40B4-BE49-F238E27FC236}">
              <a16:creationId xmlns:a16="http://schemas.microsoft.com/office/drawing/2014/main" id="{00000000-0008-0000-0100-00002B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12" name="Text Box 208">
          <a:extLst>
            <a:ext uri="{FF2B5EF4-FFF2-40B4-BE49-F238E27FC236}">
              <a16:creationId xmlns:a16="http://schemas.microsoft.com/office/drawing/2014/main" id="{00000000-0008-0000-0100-00002C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13" name="Text Box 209">
          <a:extLst>
            <a:ext uri="{FF2B5EF4-FFF2-40B4-BE49-F238E27FC236}">
              <a16:creationId xmlns:a16="http://schemas.microsoft.com/office/drawing/2014/main" id="{00000000-0008-0000-0100-00002D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14" name="Text Box 210">
          <a:extLst>
            <a:ext uri="{FF2B5EF4-FFF2-40B4-BE49-F238E27FC236}">
              <a16:creationId xmlns:a16="http://schemas.microsoft.com/office/drawing/2014/main" id="{00000000-0008-0000-0100-00002E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15" name="Text Box 211">
          <a:extLst>
            <a:ext uri="{FF2B5EF4-FFF2-40B4-BE49-F238E27FC236}">
              <a16:creationId xmlns:a16="http://schemas.microsoft.com/office/drawing/2014/main" id="{00000000-0008-0000-0100-00002F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16" name="Text Box 212">
          <a:extLst>
            <a:ext uri="{FF2B5EF4-FFF2-40B4-BE49-F238E27FC236}">
              <a16:creationId xmlns:a16="http://schemas.microsoft.com/office/drawing/2014/main" id="{00000000-0008-0000-0100-000030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17" name="Text Box 213">
          <a:extLst>
            <a:ext uri="{FF2B5EF4-FFF2-40B4-BE49-F238E27FC236}">
              <a16:creationId xmlns:a16="http://schemas.microsoft.com/office/drawing/2014/main" id="{00000000-0008-0000-0100-000031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18" name="Text Box 214">
          <a:extLst>
            <a:ext uri="{FF2B5EF4-FFF2-40B4-BE49-F238E27FC236}">
              <a16:creationId xmlns:a16="http://schemas.microsoft.com/office/drawing/2014/main" id="{00000000-0008-0000-0100-000032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19" name="Text Box 215">
          <a:extLst>
            <a:ext uri="{FF2B5EF4-FFF2-40B4-BE49-F238E27FC236}">
              <a16:creationId xmlns:a16="http://schemas.microsoft.com/office/drawing/2014/main" id="{00000000-0008-0000-0100-000033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20" name="Text Box 216">
          <a:extLst>
            <a:ext uri="{FF2B5EF4-FFF2-40B4-BE49-F238E27FC236}">
              <a16:creationId xmlns:a16="http://schemas.microsoft.com/office/drawing/2014/main" id="{00000000-0008-0000-0100-000034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21" name="Text Box 217">
          <a:extLst>
            <a:ext uri="{FF2B5EF4-FFF2-40B4-BE49-F238E27FC236}">
              <a16:creationId xmlns:a16="http://schemas.microsoft.com/office/drawing/2014/main" id="{00000000-0008-0000-0100-000035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22" name="Text Box 218">
          <a:extLst>
            <a:ext uri="{FF2B5EF4-FFF2-40B4-BE49-F238E27FC236}">
              <a16:creationId xmlns:a16="http://schemas.microsoft.com/office/drawing/2014/main" id="{00000000-0008-0000-0100-000036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23" name="Text Box 219">
          <a:extLst>
            <a:ext uri="{FF2B5EF4-FFF2-40B4-BE49-F238E27FC236}">
              <a16:creationId xmlns:a16="http://schemas.microsoft.com/office/drawing/2014/main" id="{00000000-0008-0000-0100-000037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24" name="Text Box 220">
          <a:extLst>
            <a:ext uri="{FF2B5EF4-FFF2-40B4-BE49-F238E27FC236}">
              <a16:creationId xmlns:a16="http://schemas.microsoft.com/office/drawing/2014/main" id="{00000000-0008-0000-0100-000038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25" name="Text Box 221">
          <a:extLst>
            <a:ext uri="{FF2B5EF4-FFF2-40B4-BE49-F238E27FC236}">
              <a16:creationId xmlns:a16="http://schemas.microsoft.com/office/drawing/2014/main" id="{00000000-0008-0000-0100-000039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26" name="Text Box 222">
          <a:extLst>
            <a:ext uri="{FF2B5EF4-FFF2-40B4-BE49-F238E27FC236}">
              <a16:creationId xmlns:a16="http://schemas.microsoft.com/office/drawing/2014/main" id="{00000000-0008-0000-0100-00003A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27" name="Text Box 223">
          <a:extLst>
            <a:ext uri="{FF2B5EF4-FFF2-40B4-BE49-F238E27FC236}">
              <a16:creationId xmlns:a16="http://schemas.microsoft.com/office/drawing/2014/main" id="{00000000-0008-0000-0100-00003B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28" name="Text Box 224">
          <a:extLst>
            <a:ext uri="{FF2B5EF4-FFF2-40B4-BE49-F238E27FC236}">
              <a16:creationId xmlns:a16="http://schemas.microsoft.com/office/drawing/2014/main" id="{00000000-0008-0000-0100-00003C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29" name="Text Box 225">
          <a:extLst>
            <a:ext uri="{FF2B5EF4-FFF2-40B4-BE49-F238E27FC236}">
              <a16:creationId xmlns:a16="http://schemas.microsoft.com/office/drawing/2014/main" id="{00000000-0008-0000-0100-00003D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30" name="Text Box 226">
          <a:extLst>
            <a:ext uri="{FF2B5EF4-FFF2-40B4-BE49-F238E27FC236}">
              <a16:creationId xmlns:a16="http://schemas.microsoft.com/office/drawing/2014/main" id="{00000000-0008-0000-0100-00003E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31" name="Text Box 227">
          <a:extLst>
            <a:ext uri="{FF2B5EF4-FFF2-40B4-BE49-F238E27FC236}">
              <a16:creationId xmlns:a16="http://schemas.microsoft.com/office/drawing/2014/main" id="{00000000-0008-0000-0100-00003F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32" name="Text Box 228">
          <a:extLst>
            <a:ext uri="{FF2B5EF4-FFF2-40B4-BE49-F238E27FC236}">
              <a16:creationId xmlns:a16="http://schemas.microsoft.com/office/drawing/2014/main" id="{00000000-0008-0000-0100-000040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33" name="Text Box 229">
          <a:extLst>
            <a:ext uri="{FF2B5EF4-FFF2-40B4-BE49-F238E27FC236}">
              <a16:creationId xmlns:a16="http://schemas.microsoft.com/office/drawing/2014/main" id="{00000000-0008-0000-0100-000041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34" name="Text Box 230">
          <a:extLst>
            <a:ext uri="{FF2B5EF4-FFF2-40B4-BE49-F238E27FC236}">
              <a16:creationId xmlns:a16="http://schemas.microsoft.com/office/drawing/2014/main" id="{00000000-0008-0000-0100-000042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35" name="Text Box 231">
          <a:extLst>
            <a:ext uri="{FF2B5EF4-FFF2-40B4-BE49-F238E27FC236}">
              <a16:creationId xmlns:a16="http://schemas.microsoft.com/office/drawing/2014/main" id="{00000000-0008-0000-0100-000043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36" name="Text Box 232">
          <a:extLst>
            <a:ext uri="{FF2B5EF4-FFF2-40B4-BE49-F238E27FC236}">
              <a16:creationId xmlns:a16="http://schemas.microsoft.com/office/drawing/2014/main" id="{00000000-0008-0000-0100-000044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37" name="Text Box 233">
          <a:extLst>
            <a:ext uri="{FF2B5EF4-FFF2-40B4-BE49-F238E27FC236}">
              <a16:creationId xmlns:a16="http://schemas.microsoft.com/office/drawing/2014/main" id="{00000000-0008-0000-0100-000045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38" name="Text Box 234">
          <a:extLst>
            <a:ext uri="{FF2B5EF4-FFF2-40B4-BE49-F238E27FC236}">
              <a16:creationId xmlns:a16="http://schemas.microsoft.com/office/drawing/2014/main" id="{00000000-0008-0000-0100-000046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39" name="Text Box 235">
          <a:extLst>
            <a:ext uri="{FF2B5EF4-FFF2-40B4-BE49-F238E27FC236}">
              <a16:creationId xmlns:a16="http://schemas.microsoft.com/office/drawing/2014/main" id="{00000000-0008-0000-0100-000047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40" name="Text Box 236">
          <a:extLst>
            <a:ext uri="{FF2B5EF4-FFF2-40B4-BE49-F238E27FC236}">
              <a16:creationId xmlns:a16="http://schemas.microsoft.com/office/drawing/2014/main" id="{00000000-0008-0000-0100-000048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41" name="Text Box 237">
          <a:extLst>
            <a:ext uri="{FF2B5EF4-FFF2-40B4-BE49-F238E27FC236}">
              <a16:creationId xmlns:a16="http://schemas.microsoft.com/office/drawing/2014/main" id="{00000000-0008-0000-0100-000049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42" name="Text Box 238">
          <a:extLst>
            <a:ext uri="{FF2B5EF4-FFF2-40B4-BE49-F238E27FC236}">
              <a16:creationId xmlns:a16="http://schemas.microsoft.com/office/drawing/2014/main" id="{00000000-0008-0000-0100-00004A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43" name="Text Box 239">
          <a:extLst>
            <a:ext uri="{FF2B5EF4-FFF2-40B4-BE49-F238E27FC236}">
              <a16:creationId xmlns:a16="http://schemas.microsoft.com/office/drawing/2014/main" id="{00000000-0008-0000-0100-00004B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44" name="Text Box 240">
          <a:extLst>
            <a:ext uri="{FF2B5EF4-FFF2-40B4-BE49-F238E27FC236}">
              <a16:creationId xmlns:a16="http://schemas.microsoft.com/office/drawing/2014/main" id="{00000000-0008-0000-0100-00004C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45" name="Text Box 241">
          <a:extLst>
            <a:ext uri="{FF2B5EF4-FFF2-40B4-BE49-F238E27FC236}">
              <a16:creationId xmlns:a16="http://schemas.microsoft.com/office/drawing/2014/main" id="{00000000-0008-0000-0100-00004D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46" name="Text Box 242">
          <a:extLst>
            <a:ext uri="{FF2B5EF4-FFF2-40B4-BE49-F238E27FC236}">
              <a16:creationId xmlns:a16="http://schemas.microsoft.com/office/drawing/2014/main" id="{00000000-0008-0000-0100-00004E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47" name="Text Box 243">
          <a:extLst>
            <a:ext uri="{FF2B5EF4-FFF2-40B4-BE49-F238E27FC236}">
              <a16:creationId xmlns:a16="http://schemas.microsoft.com/office/drawing/2014/main" id="{00000000-0008-0000-0100-00004F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48" name="Text Box 244">
          <a:extLst>
            <a:ext uri="{FF2B5EF4-FFF2-40B4-BE49-F238E27FC236}">
              <a16:creationId xmlns:a16="http://schemas.microsoft.com/office/drawing/2014/main" id="{00000000-0008-0000-0100-000050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49" name="Text Box 245">
          <a:extLst>
            <a:ext uri="{FF2B5EF4-FFF2-40B4-BE49-F238E27FC236}">
              <a16:creationId xmlns:a16="http://schemas.microsoft.com/office/drawing/2014/main" id="{00000000-0008-0000-0100-000051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50" name="Text Box 246">
          <a:extLst>
            <a:ext uri="{FF2B5EF4-FFF2-40B4-BE49-F238E27FC236}">
              <a16:creationId xmlns:a16="http://schemas.microsoft.com/office/drawing/2014/main" id="{00000000-0008-0000-0100-000052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51" name="Text Box 247">
          <a:extLst>
            <a:ext uri="{FF2B5EF4-FFF2-40B4-BE49-F238E27FC236}">
              <a16:creationId xmlns:a16="http://schemas.microsoft.com/office/drawing/2014/main" id="{00000000-0008-0000-0100-000053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52" name="Text Box 248">
          <a:extLst>
            <a:ext uri="{FF2B5EF4-FFF2-40B4-BE49-F238E27FC236}">
              <a16:creationId xmlns:a16="http://schemas.microsoft.com/office/drawing/2014/main" id="{00000000-0008-0000-0100-000054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53" name="Text Box 249">
          <a:extLst>
            <a:ext uri="{FF2B5EF4-FFF2-40B4-BE49-F238E27FC236}">
              <a16:creationId xmlns:a16="http://schemas.microsoft.com/office/drawing/2014/main" id="{00000000-0008-0000-0100-000055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54" name="Text Box 250">
          <a:extLst>
            <a:ext uri="{FF2B5EF4-FFF2-40B4-BE49-F238E27FC236}">
              <a16:creationId xmlns:a16="http://schemas.microsoft.com/office/drawing/2014/main" id="{00000000-0008-0000-0100-000056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55" name="Text Box 251">
          <a:extLst>
            <a:ext uri="{FF2B5EF4-FFF2-40B4-BE49-F238E27FC236}">
              <a16:creationId xmlns:a16="http://schemas.microsoft.com/office/drawing/2014/main" id="{00000000-0008-0000-0100-000057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56" name="Text Box 252">
          <a:extLst>
            <a:ext uri="{FF2B5EF4-FFF2-40B4-BE49-F238E27FC236}">
              <a16:creationId xmlns:a16="http://schemas.microsoft.com/office/drawing/2014/main" id="{00000000-0008-0000-0100-000058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57" name="Text Box 253">
          <a:extLst>
            <a:ext uri="{FF2B5EF4-FFF2-40B4-BE49-F238E27FC236}">
              <a16:creationId xmlns:a16="http://schemas.microsoft.com/office/drawing/2014/main" id="{00000000-0008-0000-0100-000059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58" name="Text Box 254">
          <a:extLst>
            <a:ext uri="{FF2B5EF4-FFF2-40B4-BE49-F238E27FC236}">
              <a16:creationId xmlns:a16="http://schemas.microsoft.com/office/drawing/2014/main" id="{00000000-0008-0000-0100-00005A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59" name="Text Box 255">
          <a:extLst>
            <a:ext uri="{FF2B5EF4-FFF2-40B4-BE49-F238E27FC236}">
              <a16:creationId xmlns:a16="http://schemas.microsoft.com/office/drawing/2014/main" id="{00000000-0008-0000-0100-00005B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60" name="Text Box 256">
          <a:extLst>
            <a:ext uri="{FF2B5EF4-FFF2-40B4-BE49-F238E27FC236}">
              <a16:creationId xmlns:a16="http://schemas.microsoft.com/office/drawing/2014/main" id="{00000000-0008-0000-0100-00005C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61" name="Text Box 257">
          <a:extLst>
            <a:ext uri="{FF2B5EF4-FFF2-40B4-BE49-F238E27FC236}">
              <a16:creationId xmlns:a16="http://schemas.microsoft.com/office/drawing/2014/main" id="{00000000-0008-0000-0100-00005D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62" name="Text Box 258">
          <a:extLst>
            <a:ext uri="{FF2B5EF4-FFF2-40B4-BE49-F238E27FC236}">
              <a16:creationId xmlns:a16="http://schemas.microsoft.com/office/drawing/2014/main" id="{00000000-0008-0000-0100-00005E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63" name="Text Box 259">
          <a:extLst>
            <a:ext uri="{FF2B5EF4-FFF2-40B4-BE49-F238E27FC236}">
              <a16:creationId xmlns:a16="http://schemas.microsoft.com/office/drawing/2014/main" id="{00000000-0008-0000-0100-00005F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64" name="Text Box 260">
          <a:extLst>
            <a:ext uri="{FF2B5EF4-FFF2-40B4-BE49-F238E27FC236}">
              <a16:creationId xmlns:a16="http://schemas.microsoft.com/office/drawing/2014/main" id="{00000000-0008-0000-0100-000060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65" name="Text Box 261">
          <a:extLst>
            <a:ext uri="{FF2B5EF4-FFF2-40B4-BE49-F238E27FC236}">
              <a16:creationId xmlns:a16="http://schemas.microsoft.com/office/drawing/2014/main" id="{00000000-0008-0000-0100-000061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66" name="Text Box 262">
          <a:extLst>
            <a:ext uri="{FF2B5EF4-FFF2-40B4-BE49-F238E27FC236}">
              <a16:creationId xmlns:a16="http://schemas.microsoft.com/office/drawing/2014/main" id="{00000000-0008-0000-0100-000062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67" name="Text Box 263">
          <a:extLst>
            <a:ext uri="{FF2B5EF4-FFF2-40B4-BE49-F238E27FC236}">
              <a16:creationId xmlns:a16="http://schemas.microsoft.com/office/drawing/2014/main" id="{00000000-0008-0000-0100-000063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68" name="Text Box 264">
          <a:extLst>
            <a:ext uri="{FF2B5EF4-FFF2-40B4-BE49-F238E27FC236}">
              <a16:creationId xmlns:a16="http://schemas.microsoft.com/office/drawing/2014/main" id="{00000000-0008-0000-0100-000064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69" name="Text Box 265">
          <a:extLst>
            <a:ext uri="{FF2B5EF4-FFF2-40B4-BE49-F238E27FC236}">
              <a16:creationId xmlns:a16="http://schemas.microsoft.com/office/drawing/2014/main" id="{00000000-0008-0000-0100-000065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70" name="Text Box 266">
          <a:extLst>
            <a:ext uri="{FF2B5EF4-FFF2-40B4-BE49-F238E27FC236}">
              <a16:creationId xmlns:a16="http://schemas.microsoft.com/office/drawing/2014/main" id="{00000000-0008-0000-0100-000066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71" name="Text Box 267">
          <a:extLst>
            <a:ext uri="{FF2B5EF4-FFF2-40B4-BE49-F238E27FC236}">
              <a16:creationId xmlns:a16="http://schemas.microsoft.com/office/drawing/2014/main" id="{00000000-0008-0000-0100-000067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72" name="Text Box 268">
          <a:extLst>
            <a:ext uri="{FF2B5EF4-FFF2-40B4-BE49-F238E27FC236}">
              <a16:creationId xmlns:a16="http://schemas.microsoft.com/office/drawing/2014/main" id="{00000000-0008-0000-0100-000068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73" name="Text Box 269">
          <a:extLst>
            <a:ext uri="{FF2B5EF4-FFF2-40B4-BE49-F238E27FC236}">
              <a16:creationId xmlns:a16="http://schemas.microsoft.com/office/drawing/2014/main" id="{00000000-0008-0000-0100-000069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74" name="Text Box 270">
          <a:extLst>
            <a:ext uri="{FF2B5EF4-FFF2-40B4-BE49-F238E27FC236}">
              <a16:creationId xmlns:a16="http://schemas.microsoft.com/office/drawing/2014/main" id="{00000000-0008-0000-0100-00006A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75" name="Text Box 271">
          <a:extLst>
            <a:ext uri="{FF2B5EF4-FFF2-40B4-BE49-F238E27FC236}">
              <a16:creationId xmlns:a16="http://schemas.microsoft.com/office/drawing/2014/main" id="{00000000-0008-0000-0100-00006B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76" name="Text Box 272">
          <a:extLst>
            <a:ext uri="{FF2B5EF4-FFF2-40B4-BE49-F238E27FC236}">
              <a16:creationId xmlns:a16="http://schemas.microsoft.com/office/drawing/2014/main" id="{00000000-0008-0000-0100-00006C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77" name="Text Box 273">
          <a:extLst>
            <a:ext uri="{FF2B5EF4-FFF2-40B4-BE49-F238E27FC236}">
              <a16:creationId xmlns:a16="http://schemas.microsoft.com/office/drawing/2014/main" id="{00000000-0008-0000-0100-00006D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78" name="Text Box 274">
          <a:extLst>
            <a:ext uri="{FF2B5EF4-FFF2-40B4-BE49-F238E27FC236}">
              <a16:creationId xmlns:a16="http://schemas.microsoft.com/office/drawing/2014/main" id="{00000000-0008-0000-0100-00006E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79" name="Text Box 275">
          <a:extLst>
            <a:ext uri="{FF2B5EF4-FFF2-40B4-BE49-F238E27FC236}">
              <a16:creationId xmlns:a16="http://schemas.microsoft.com/office/drawing/2014/main" id="{00000000-0008-0000-0100-00006F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80" name="Text Box 276">
          <a:extLst>
            <a:ext uri="{FF2B5EF4-FFF2-40B4-BE49-F238E27FC236}">
              <a16:creationId xmlns:a16="http://schemas.microsoft.com/office/drawing/2014/main" id="{00000000-0008-0000-0100-000070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81" name="Text Box 277">
          <a:extLst>
            <a:ext uri="{FF2B5EF4-FFF2-40B4-BE49-F238E27FC236}">
              <a16:creationId xmlns:a16="http://schemas.microsoft.com/office/drawing/2014/main" id="{00000000-0008-0000-0100-000071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82" name="Text Box 278">
          <a:extLst>
            <a:ext uri="{FF2B5EF4-FFF2-40B4-BE49-F238E27FC236}">
              <a16:creationId xmlns:a16="http://schemas.microsoft.com/office/drawing/2014/main" id="{00000000-0008-0000-0100-000072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83" name="Text Box 279">
          <a:extLst>
            <a:ext uri="{FF2B5EF4-FFF2-40B4-BE49-F238E27FC236}">
              <a16:creationId xmlns:a16="http://schemas.microsoft.com/office/drawing/2014/main" id="{00000000-0008-0000-0100-000073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84" name="Text Box 280">
          <a:extLst>
            <a:ext uri="{FF2B5EF4-FFF2-40B4-BE49-F238E27FC236}">
              <a16:creationId xmlns:a16="http://schemas.microsoft.com/office/drawing/2014/main" id="{00000000-0008-0000-0100-000074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85" name="Text Box 281">
          <a:extLst>
            <a:ext uri="{FF2B5EF4-FFF2-40B4-BE49-F238E27FC236}">
              <a16:creationId xmlns:a16="http://schemas.microsoft.com/office/drawing/2014/main" id="{00000000-0008-0000-0100-000075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86" name="Text Box 282">
          <a:extLst>
            <a:ext uri="{FF2B5EF4-FFF2-40B4-BE49-F238E27FC236}">
              <a16:creationId xmlns:a16="http://schemas.microsoft.com/office/drawing/2014/main" id="{00000000-0008-0000-0100-000076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87" name="Text Box 283">
          <a:extLst>
            <a:ext uri="{FF2B5EF4-FFF2-40B4-BE49-F238E27FC236}">
              <a16:creationId xmlns:a16="http://schemas.microsoft.com/office/drawing/2014/main" id="{00000000-0008-0000-0100-000077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88" name="Text Box 284">
          <a:extLst>
            <a:ext uri="{FF2B5EF4-FFF2-40B4-BE49-F238E27FC236}">
              <a16:creationId xmlns:a16="http://schemas.microsoft.com/office/drawing/2014/main" id="{00000000-0008-0000-0100-000078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89" name="Text Box 285">
          <a:extLst>
            <a:ext uri="{FF2B5EF4-FFF2-40B4-BE49-F238E27FC236}">
              <a16:creationId xmlns:a16="http://schemas.microsoft.com/office/drawing/2014/main" id="{00000000-0008-0000-0100-000079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90" name="Text Box 286">
          <a:extLst>
            <a:ext uri="{FF2B5EF4-FFF2-40B4-BE49-F238E27FC236}">
              <a16:creationId xmlns:a16="http://schemas.microsoft.com/office/drawing/2014/main" id="{00000000-0008-0000-0100-00007A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91" name="Text Box 287">
          <a:extLst>
            <a:ext uri="{FF2B5EF4-FFF2-40B4-BE49-F238E27FC236}">
              <a16:creationId xmlns:a16="http://schemas.microsoft.com/office/drawing/2014/main" id="{00000000-0008-0000-0100-00007B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92" name="Text Box 288">
          <a:extLst>
            <a:ext uri="{FF2B5EF4-FFF2-40B4-BE49-F238E27FC236}">
              <a16:creationId xmlns:a16="http://schemas.microsoft.com/office/drawing/2014/main" id="{00000000-0008-0000-0100-00007C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93" name="Text Box 289">
          <a:extLst>
            <a:ext uri="{FF2B5EF4-FFF2-40B4-BE49-F238E27FC236}">
              <a16:creationId xmlns:a16="http://schemas.microsoft.com/office/drawing/2014/main" id="{00000000-0008-0000-0100-00007D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94" name="Text Box 290">
          <a:extLst>
            <a:ext uri="{FF2B5EF4-FFF2-40B4-BE49-F238E27FC236}">
              <a16:creationId xmlns:a16="http://schemas.microsoft.com/office/drawing/2014/main" id="{00000000-0008-0000-0100-00007E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95" name="Text Box 291">
          <a:extLst>
            <a:ext uri="{FF2B5EF4-FFF2-40B4-BE49-F238E27FC236}">
              <a16:creationId xmlns:a16="http://schemas.microsoft.com/office/drawing/2014/main" id="{00000000-0008-0000-0100-00007F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96" name="Text Box 292">
          <a:extLst>
            <a:ext uri="{FF2B5EF4-FFF2-40B4-BE49-F238E27FC236}">
              <a16:creationId xmlns:a16="http://schemas.microsoft.com/office/drawing/2014/main" id="{00000000-0008-0000-0100-000080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97" name="Text Box 293">
          <a:extLst>
            <a:ext uri="{FF2B5EF4-FFF2-40B4-BE49-F238E27FC236}">
              <a16:creationId xmlns:a16="http://schemas.microsoft.com/office/drawing/2014/main" id="{00000000-0008-0000-0100-000081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98" name="Text Box 294">
          <a:extLst>
            <a:ext uri="{FF2B5EF4-FFF2-40B4-BE49-F238E27FC236}">
              <a16:creationId xmlns:a16="http://schemas.microsoft.com/office/drawing/2014/main" id="{00000000-0008-0000-0100-000082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899" name="Text Box 295">
          <a:extLst>
            <a:ext uri="{FF2B5EF4-FFF2-40B4-BE49-F238E27FC236}">
              <a16:creationId xmlns:a16="http://schemas.microsoft.com/office/drawing/2014/main" id="{00000000-0008-0000-0100-000083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900" name="Text Box 296">
          <a:extLst>
            <a:ext uri="{FF2B5EF4-FFF2-40B4-BE49-F238E27FC236}">
              <a16:creationId xmlns:a16="http://schemas.microsoft.com/office/drawing/2014/main" id="{00000000-0008-0000-0100-000084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901" name="Text Box 297">
          <a:extLst>
            <a:ext uri="{FF2B5EF4-FFF2-40B4-BE49-F238E27FC236}">
              <a16:creationId xmlns:a16="http://schemas.microsoft.com/office/drawing/2014/main" id="{00000000-0008-0000-0100-000085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902" name="Text Box 298">
          <a:extLst>
            <a:ext uri="{FF2B5EF4-FFF2-40B4-BE49-F238E27FC236}">
              <a16:creationId xmlns:a16="http://schemas.microsoft.com/office/drawing/2014/main" id="{00000000-0008-0000-0100-000086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903" name="Text Box 299">
          <a:extLst>
            <a:ext uri="{FF2B5EF4-FFF2-40B4-BE49-F238E27FC236}">
              <a16:creationId xmlns:a16="http://schemas.microsoft.com/office/drawing/2014/main" id="{00000000-0008-0000-0100-000087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904" name="Text Box 300">
          <a:extLst>
            <a:ext uri="{FF2B5EF4-FFF2-40B4-BE49-F238E27FC236}">
              <a16:creationId xmlns:a16="http://schemas.microsoft.com/office/drawing/2014/main" id="{00000000-0008-0000-0100-000088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905" name="Text Box 301">
          <a:extLst>
            <a:ext uri="{FF2B5EF4-FFF2-40B4-BE49-F238E27FC236}">
              <a16:creationId xmlns:a16="http://schemas.microsoft.com/office/drawing/2014/main" id="{00000000-0008-0000-0100-000089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906" name="Text Box 302">
          <a:extLst>
            <a:ext uri="{FF2B5EF4-FFF2-40B4-BE49-F238E27FC236}">
              <a16:creationId xmlns:a16="http://schemas.microsoft.com/office/drawing/2014/main" id="{00000000-0008-0000-0100-00008A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twoCellAnchor editAs="oneCell">
    <xdr:from>
      <xdr:col>7</xdr:col>
      <xdr:colOff>0</xdr:colOff>
      <xdr:row>0</xdr:row>
      <xdr:rowOff>0</xdr:rowOff>
    </xdr:from>
    <xdr:to>
      <xdr:col>7</xdr:col>
      <xdr:colOff>47625</xdr:colOff>
      <xdr:row>0</xdr:row>
      <xdr:rowOff>180527</xdr:rowOff>
    </xdr:to>
    <xdr:sp macro="" textlink="">
      <xdr:nvSpPr>
        <xdr:cNvPr id="907" name="Text Box 303">
          <a:extLst>
            <a:ext uri="{FF2B5EF4-FFF2-40B4-BE49-F238E27FC236}">
              <a16:creationId xmlns:a16="http://schemas.microsoft.com/office/drawing/2014/main" id="{00000000-0008-0000-0100-00008B030000}"/>
            </a:ext>
          </a:extLst>
        </xdr:cNvPr>
        <xdr:cNvSpPr txBox="1">
          <a:spLocks noChangeArrowheads="1"/>
        </xdr:cNvSpPr>
      </xdr:nvSpPr>
      <xdr:spPr bwMode="auto">
        <a:xfrm>
          <a:off x="10791825" y="0"/>
          <a:ext cx="47625" cy="180527"/>
        </a:xfrm>
        <a:prstGeom prst="rect">
          <a:avLst/>
        </a:prstGeom>
        <a:noFill/>
        <a:ln w="9525">
          <a:noFill/>
          <a:miter lim="800000"/>
          <a:headEnd/>
          <a:tailEnd/>
        </a:ln>
        <a:effectLst/>
      </xdr:spPr>
    </xdr:sp>
    <xdr:clientData/>
  </xdr:twoCellAnchor>
  <xdr:oneCellAnchor>
    <xdr:from>
      <xdr:col>4</xdr:col>
      <xdr:colOff>0</xdr:colOff>
      <xdr:row>0</xdr:row>
      <xdr:rowOff>0</xdr:rowOff>
    </xdr:from>
    <xdr:ext cx="47625" cy="180527"/>
    <xdr:sp macro="" textlink="">
      <xdr:nvSpPr>
        <xdr:cNvPr id="908" name="Text Box 1">
          <a:extLst>
            <a:ext uri="{FF2B5EF4-FFF2-40B4-BE49-F238E27FC236}">
              <a16:creationId xmlns:a16="http://schemas.microsoft.com/office/drawing/2014/main" id="{00000000-0008-0000-0100-00008C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09" name="Text Box 2">
          <a:extLst>
            <a:ext uri="{FF2B5EF4-FFF2-40B4-BE49-F238E27FC236}">
              <a16:creationId xmlns:a16="http://schemas.microsoft.com/office/drawing/2014/main" id="{00000000-0008-0000-0100-00008D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10" name="Text Box 3">
          <a:extLst>
            <a:ext uri="{FF2B5EF4-FFF2-40B4-BE49-F238E27FC236}">
              <a16:creationId xmlns:a16="http://schemas.microsoft.com/office/drawing/2014/main" id="{00000000-0008-0000-0100-00008E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11" name="Text Box 4">
          <a:extLst>
            <a:ext uri="{FF2B5EF4-FFF2-40B4-BE49-F238E27FC236}">
              <a16:creationId xmlns:a16="http://schemas.microsoft.com/office/drawing/2014/main" id="{00000000-0008-0000-0100-00008F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12" name="Text Box 5">
          <a:extLst>
            <a:ext uri="{FF2B5EF4-FFF2-40B4-BE49-F238E27FC236}">
              <a16:creationId xmlns:a16="http://schemas.microsoft.com/office/drawing/2014/main" id="{00000000-0008-0000-0100-000090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13" name="Text Box 6">
          <a:extLst>
            <a:ext uri="{FF2B5EF4-FFF2-40B4-BE49-F238E27FC236}">
              <a16:creationId xmlns:a16="http://schemas.microsoft.com/office/drawing/2014/main" id="{00000000-0008-0000-0100-000091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14" name="Text Box 7">
          <a:extLst>
            <a:ext uri="{FF2B5EF4-FFF2-40B4-BE49-F238E27FC236}">
              <a16:creationId xmlns:a16="http://schemas.microsoft.com/office/drawing/2014/main" id="{00000000-0008-0000-0100-000092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15" name="Text Box 8">
          <a:extLst>
            <a:ext uri="{FF2B5EF4-FFF2-40B4-BE49-F238E27FC236}">
              <a16:creationId xmlns:a16="http://schemas.microsoft.com/office/drawing/2014/main" id="{00000000-0008-0000-0100-000093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16" name="Text Box 9">
          <a:extLst>
            <a:ext uri="{FF2B5EF4-FFF2-40B4-BE49-F238E27FC236}">
              <a16:creationId xmlns:a16="http://schemas.microsoft.com/office/drawing/2014/main" id="{00000000-0008-0000-0100-000094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17" name="Text Box 10">
          <a:extLst>
            <a:ext uri="{FF2B5EF4-FFF2-40B4-BE49-F238E27FC236}">
              <a16:creationId xmlns:a16="http://schemas.microsoft.com/office/drawing/2014/main" id="{00000000-0008-0000-0100-000095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18" name="Text Box 11">
          <a:extLst>
            <a:ext uri="{FF2B5EF4-FFF2-40B4-BE49-F238E27FC236}">
              <a16:creationId xmlns:a16="http://schemas.microsoft.com/office/drawing/2014/main" id="{00000000-0008-0000-0100-000096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19" name="Text Box 12">
          <a:extLst>
            <a:ext uri="{FF2B5EF4-FFF2-40B4-BE49-F238E27FC236}">
              <a16:creationId xmlns:a16="http://schemas.microsoft.com/office/drawing/2014/main" id="{00000000-0008-0000-0100-000097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20" name="Text Box 13">
          <a:extLst>
            <a:ext uri="{FF2B5EF4-FFF2-40B4-BE49-F238E27FC236}">
              <a16:creationId xmlns:a16="http://schemas.microsoft.com/office/drawing/2014/main" id="{00000000-0008-0000-0100-000098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21" name="Text Box 14">
          <a:extLst>
            <a:ext uri="{FF2B5EF4-FFF2-40B4-BE49-F238E27FC236}">
              <a16:creationId xmlns:a16="http://schemas.microsoft.com/office/drawing/2014/main" id="{00000000-0008-0000-0100-000099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22" name="Text Box 15">
          <a:extLst>
            <a:ext uri="{FF2B5EF4-FFF2-40B4-BE49-F238E27FC236}">
              <a16:creationId xmlns:a16="http://schemas.microsoft.com/office/drawing/2014/main" id="{00000000-0008-0000-0100-00009A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23" name="Text Box 16">
          <a:extLst>
            <a:ext uri="{FF2B5EF4-FFF2-40B4-BE49-F238E27FC236}">
              <a16:creationId xmlns:a16="http://schemas.microsoft.com/office/drawing/2014/main" id="{00000000-0008-0000-0100-00009B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24" name="Text Box 17">
          <a:extLst>
            <a:ext uri="{FF2B5EF4-FFF2-40B4-BE49-F238E27FC236}">
              <a16:creationId xmlns:a16="http://schemas.microsoft.com/office/drawing/2014/main" id="{00000000-0008-0000-0100-00009C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25" name="Text Box 18">
          <a:extLst>
            <a:ext uri="{FF2B5EF4-FFF2-40B4-BE49-F238E27FC236}">
              <a16:creationId xmlns:a16="http://schemas.microsoft.com/office/drawing/2014/main" id="{00000000-0008-0000-0100-00009D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26" name="Text Box 19">
          <a:extLst>
            <a:ext uri="{FF2B5EF4-FFF2-40B4-BE49-F238E27FC236}">
              <a16:creationId xmlns:a16="http://schemas.microsoft.com/office/drawing/2014/main" id="{00000000-0008-0000-0100-00009E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27" name="Text Box 20">
          <a:extLst>
            <a:ext uri="{FF2B5EF4-FFF2-40B4-BE49-F238E27FC236}">
              <a16:creationId xmlns:a16="http://schemas.microsoft.com/office/drawing/2014/main" id="{00000000-0008-0000-0100-00009F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28" name="Text Box 21">
          <a:extLst>
            <a:ext uri="{FF2B5EF4-FFF2-40B4-BE49-F238E27FC236}">
              <a16:creationId xmlns:a16="http://schemas.microsoft.com/office/drawing/2014/main" id="{00000000-0008-0000-0100-0000A0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29" name="Text Box 22">
          <a:extLst>
            <a:ext uri="{FF2B5EF4-FFF2-40B4-BE49-F238E27FC236}">
              <a16:creationId xmlns:a16="http://schemas.microsoft.com/office/drawing/2014/main" id="{00000000-0008-0000-0100-0000A1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30" name="Text Box 23">
          <a:extLst>
            <a:ext uri="{FF2B5EF4-FFF2-40B4-BE49-F238E27FC236}">
              <a16:creationId xmlns:a16="http://schemas.microsoft.com/office/drawing/2014/main" id="{00000000-0008-0000-0100-0000A2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31" name="Text Box 24">
          <a:extLst>
            <a:ext uri="{FF2B5EF4-FFF2-40B4-BE49-F238E27FC236}">
              <a16:creationId xmlns:a16="http://schemas.microsoft.com/office/drawing/2014/main" id="{00000000-0008-0000-0100-0000A3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32" name="Text Box 25">
          <a:extLst>
            <a:ext uri="{FF2B5EF4-FFF2-40B4-BE49-F238E27FC236}">
              <a16:creationId xmlns:a16="http://schemas.microsoft.com/office/drawing/2014/main" id="{00000000-0008-0000-0100-0000A4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33" name="Text Box 26">
          <a:extLst>
            <a:ext uri="{FF2B5EF4-FFF2-40B4-BE49-F238E27FC236}">
              <a16:creationId xmlns:a16="http://schemas.microsoft.com/office/drawing/2014/main" id="{00000000-0008-0000-0100-0000A5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34" name="Text Box 27">
          <a:extLst>
            <a:ext uri="{FF2B5EF4-FFF2-40B4-BE49-F238E27FC236}">
              <a16:creationId xmlns:a16="http://schemas.microsoft.com/office/drawing/2014/main" id="{00000000-0008-0000-0100-0000A6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35" name="Text Box 28">
          <a:extLst>
            <a:ext uri="{FF2B5EF4-FFF2-40B4-BE49-F238E27FC236}">
              <a16:creationId xmlns:a16="http://schemas.microsoft.com/office/drawing/2014/main" id="{00000000-0008-0000-0100-0000A7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36" name="Text Box 29">
          <a:extLst>
            <a:ext uri="{FF2B5EF4-FFF2-40B4-BE49-F238E27FC236}">
              <a16:creationId xmlns:a16="http://schemas.microsoft.com/office/drawing/2014/main" id="{00000000-0008-0000-0100-0000A8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37" name="Text Box 30">
          <a:extLst>
            <a:ext uri="{FF2B5EF4-FFF2-40B4-BE49-F238E27FC236}">
              <a16:creationId xmlns:a16="http://schemas.microsoft.com/office/drawing/2014/main" id="{00000000-0008-0000-0100-0000A9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38" name="Text Box 31">
          <a:extLst>
            <a:ext uri="{FF2B5EF4-FFF2-40B4-BE49-F238E27FC236}">
              <a16:creationId xmlns:a16="http://schemas.microsoft.com/office/drawing/2014/main" id="{00000000-0008-0000-0100-0000AA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39" name="Text Box 32">
          <a:extLst>
            <a:ext uri="{FF2B5EF4-FFF2-40B4-BE49-F238E27FC236}">
              <a16:creationId xmlns:a16="http://schemas.microsoft.com/office/drawing/2014/main" id="{00000000-0008-0000-0100-0000AB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40" name="Text Box 33">
          <a:extLst>
            <a:ext uri="{FF2B5EF4-FFF2-40B4-BE49-F238E27FC236}">
              <a16:creationId xmlns:a16="http://schemas.microsoft.com/office/drawing/2014/main" id="{00000000-0008-0000-0100-0000AC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41" name="Text Box 34">
          <a:extLst>
            <a:ext uri="{FF2B5EF4-FFF2-40B4-BE49-F238E27FC236}">
              <a16:creationId xmlns:a16="http://schemas.microsoft.com/office/drawing/2014/main" id="{00000000-0008-0000-0100-0000AD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42" name="Text Box 35">
          <a:extLst>
            <a:ext uri="{FF2B5EF4-FFF2-40B4-BE49-F238E27FC236}">
              <a16:creationId xmlns:a16="http://schemas.microsoft.com/office/drawing/2014/main" id="{00000000-0008-0000-0100-0000AE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43" name="Text Box 36">
          <a:extLst>
            <a:ext uri="{FF2B5EF4-FFF2-40B4-BE49-F238E27FC236}">
              <a16:creationId xmlns:a16="http://schemas.microsoft.com/office/drawing/2014/main" id="{00000000-0008-0000-0100-0000AF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44" name="Text Box 37">
          <a:extLst>
            <a:ext uri="{FF2B5EF4-FFF2-40B4-BE49-F238E27FC236}">
              <a16:creationId xmlns:a16="http://schemas.microsoft.com/office/drawing/2014/main" id="{00000000-0008-0000-0100-0000B0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45" name="Text Box 38">
          <a:extLst>
            <a:ext uri="{FF2B5EF4-FFF2-40B4-BE49-F238E27FC236}">
              <a16:creationId xmlns:a16="http://schemas.microsoft.com/office/drawing/2014/main" id="{00000000-0008-0000-0100-0000B1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46" name="Text Box 39">
          <a:extLst>
            <a:ext uri="{FF2B5EF4-FFF2-40B4-BE49-F238E27FC236}">
              <a16:creationId xmlns:a16="http://schemas.microsoft.com/office/drawing/2014/main" id="{00000000-0008-0000-0100-0000B2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47" name="Text Box 40">
          <a:extLst>
            <a:ext uri="{FF2B5EF4-FFF2-40B4-BE49-F238E27FC236}">
              <a16:creationId xmlns:a16="http://schemas.microsoft.com/office/drawing/2014/main" id="{00000000-0008-0000-0100-0000B3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48" name="Text Box 41">
          <a:extLst>
            <a:ext uri="{FF2B5EF4-FFF2-40B4-BE49-F238E27FC236}">
              <a16:creationId xmlns:a16="http://schemas.microsoft.com/office/drawing/2014/main" id="{00000000-0008-0000-0100-0000B4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49" name="Text Box 42">
          <a:extLst>
            <a:ext uri="{FF2B5EF4-FFF2-40B4-BE49-F238E27FC236}">
              <a16:creationId xmlns:a16="http://schemas.microsoft.com/office/drawing/2014/main" id="{00000000-0008-0000-0100-0000B5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50" name="Text Box 43">
          <a:extLst>
            <a:ext uri="{FF2B5EF4-FFF2-40B4-BE49-F238E27FC236}">
              <a16:creationId xmlns:a16="http://schemas.microsoft.com/office/drawing/2014/main" id="{00000000-0008-0000-0100-0000B6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51" name="Text Box 44">
          <a:extLst>
            <a:ext uri="{FF2B5EF4-FFF2-40B4-BE49-F238E27FC236}">
              <a16:creationId xmlns:a16="http://schemas.microsoft.com/office/drawing/2014/main" id="{00000000-0008-0000-0100-0000B7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52" name="Text Box 45">
          <a:extLst>
            <a:ext uri="{FF2B5EF4-FFF2-40B4-BE49-F238E27FC236}">
              <a16:creationId xmlns:a16="http://schemas.microsoft.com/office/drawing/2014/main" id="{00000000-0008-0000-0100-0000B8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53" name="Text Box 46">
          <a:extLst>
            <a:ext uri="{FF2B5EF4-FFF2-40B4-BE49-F238E27FC236}">
              <a16:creationId xmlns:a16="http://schemas.microsoft.com/office/drawing/2014/main" id="{00000000-0008-0000-0100-0000B9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54" name="Text Box 47">
          <a:extLst>
            <a:ext uri="{FF2B5EF4-FFF2-40B4-BE49-F238E27FC236}">
              <a16:creationId xmlns:a16="http://schemas.microsoft.com/office/drawing/2014/main" id="{00000000-0008-0000-0100-0000BA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55" name="Text Box 48">
          <a:extLst>
            <a:ext uri="{FF2B5EF4-FFF2-40B4-BE49-F238E27FC236}">
              <a16:creationId xmlns:a16="http://schemas.microsoft.com/office/drawing/2014/main" id="{00000000-0008-0000-0100-0000BB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56" name="Text Box 49">
          <a:extLst>
            <a:ext uri="{FF2B5EF4-FFF2-40B4-BE49-F238E27FC236}">
              <a16:creationId xmlns:a16="http://schemas.microsoft.com/office/drawing/2014/main" id="{00000000-0008-0000-0100-0000BC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57" name="Text Box 50">
          <a:extLst>
            <a:ext uri="{FF2B5EF4-FFF2-40B4-BE49-F238E27FC236}">
              <a16:creationId xmlns:a16="http://schemas.microsoft.com/office/drawing/2014/main" id="{00000000-0008-0000-0100-0000BD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58" name="Text Box 51">
          <a:extLst>
            <a:ext uri="{FF2B5EF4-FFF2-40B4-BE49-F238E27FC236}">
              <a16:creationId xmlns:a16="http://schemas.microsoft.com/office/drawing/2014/main" id="{00000000-0008-0000-0100-0000BE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59" name="Text Box 52">
          <a:extLst>
            <a:ext uri="{FF2B5EF4-FFF2-40B4-BE49-F238E27FC236}">
              <a16:creationId xmlns:a16="http://schemas.microsoft.com/office/drawing/2014/main" id="{00000000-0008-0000-0100-0000BF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60" name="Text Box 53">
          <a:extLst>
            <a:ext uri="{FF2B5EF4-FFF2-40B4-BE49-F238E27FC236}">
              <a16:creationId xmlns:a16="http://schemas.microsoft.com/office/drawing/2014/main" id="{00000000-0008-0000-0100-0000C0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61" name="Text Box 54">
          <a:extLst>
            <a:ext uri="{FF2B5EF4-FFF2-40B4-BE49-F238E27FC236}">
              <a16:creationId xmlns:a16="http://schemas.microsoft.com/office/drawing/2014/main" id="{00000000-0008-0000-0100-0000C1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62" name="Text Box 55">
          <a:extLst>
            <a:ext uri="{FF2B5EF4-FFF2-40B4-BE49-F238E27FC236}">
              <a16:creationId xmlns:a16="http://schemas.microsoft.com/office/drawing/2014/main" id="{00000000-0008-0000-0100-0000C2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63" name="Text Box 56">
          <a:extLst>
            <a:ext uri="{FF2B5EF4-FFF2-40B4-BE49-F238E27FC236}">
              <a16:creationId xmlns:a16="http://schemas.microsoft.com/office/drawing/2014/main" id="{00000000-0008-0000-0100-0000C3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64" name="Text Box 57">
          <a:extLst>
            <a:ext uri="{FF2B5EF4-FFF2-40B4-BE49-F238E27FC236}">
              <a16:creationId xmlns:a16="http://schemas.microsoft.com/office/drawing/2014/main" id="{00000000-0008-0000-0100-0000C4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65" name="Text Box 58">
          <a:extLst>
            <a:ext uri="{FF2B5EF4-FFF2-40B4-BE49-F238E27FC236}">
              <a16:creationId xmlns:a16="http://schemas.microsoft.com/office/drawing/2014/main" id="{00000000-0008-0000-0100-0000C5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66" name="Text Box 59">
          <a:extLst>
            <a:ext uri="{FF2B5EF4-FFF2-40B4-BE49-F238E27FC236}">
              <a16:creationId xmlns:a16="http://schemas.microsoft.com/office/drawing/2014/main" id="{00000000-0008-0000-0100-0000C6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67" name="Text Box 60">
          <a:extLst>
            <a:ext uri="{FF2B5EF4-FFF2-40B4-BE49-F238E27FC236}">
              <a16:creationId xmlns:a16="http://schemas.microsoft.com/office/drawing/2014/main" id="{00000000-0008-0000-0100-0000C7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68" name="Text Box 61">
          <a:extLst>
            <a:ext uri="{FF2B5EF4-FFF2-40B4-BE49-F238E27FC236}">
              <a16:creationId xmlns:a16="http://schemas.microsoft.com/office/drawing/2014/main" id="{00000000-0008-0000-0100-0000C8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69" name="Text Box 62">
          <a:extLst>
            <a:ext uri="{FF2B5EF4-FFF2-40B4-BE49-F238E27FC236}">
              <a16:creationId xmlns:a16="http://schemas.microsoft.com/office/drawing/2014/main" id="{00000000-0008-0000-0100-0000C9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70" name="Text Box 63">
          <a:extLst>
            <a:ext uri="{FF2B5EF4-FFF2-40B4-BE49-F238E27FC236}">
              <a16:creationId xmlns:a16="http://schemas.microsoft.com/office/drawing/2014/main" id="{00000000-0008-0000-0100-0000CA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71" name="Text Box 64">
          <a:extLst>
            <a:ext uri="{FF2B5EF4-FFF2-40B4-BE49-F238E27FC236}">
              <a16:creationId xmlns:a16="http://schemas.microsoft.com/office/drawing/2014/main" id="{00000000-0008-0000-0100-0000CB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72" name="Text Box 65">
          <a:extLst>
            <a:ext uri="{FF2B5EF4-FFF2-40B4-BE49-F238E27FC236}">
              <a16:creationId xmlns:a16="http://schemas.microsoft.com/office/drawing/2014/main" id="{00000000-0008-0000-0100-0000CC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73" name="Text Box 66">
          <a:extLst>
            <a:ext uri="{FF2B5EF4-FFF2-40B4-BE49-F238E27FC236}">
              <a16:creationId xmlns:a16="http://schemas.microsoft.com/office/drawing/2014/main" id="{00000000-0008-0000-0100-0000CD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74" name="Text Box 67">
          <a:extLst>
            <a:ext uri="{FF2B5EF4-FFF2-40B4-BE49-F238E27FC236}">
              <a16:creationId xmlns:a16="http://schemas.microsoft.com/office/drawing/2014/main" id="{00000000-0008-0000-0100-0000CE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75" name="Text Box 68">
          <a:extLst>
            <a:ext uri="{FF2B5EF4-FFF2-40B4-BE49-F238E27FC236}">
              <a16:creationId xmlns:a16="http://schemas.microsoft.com/office/drawing/2014/main" id="{00000000-0008-0000-0100-0000CF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76" name="Text Box 69">
          <a:extLst>
            <a:ext uri="{FF2B5EF4-FFF2-40B4-BE49-F238E27FC236}">
              <a16:creationId xmlns:a16="http://schemas.microsoft.com/office/drawing/2014/main" id="{00000000-0008-0000-0100-0000D0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77" name="Text Box 70">
          <a:extLst>
            <a:ext uri="{FF2B5EF4-FFF2-40B4-BE49-F238E27FC236}">
              <a16:creationId xmlns:a16="http://schemas.microsoft.com/office/drawing/2014/main" id="{00000000-0008-0000-0100-0000D1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78" name="Text Box 71">
          <a:extLst>
            <a:ext uri="{FF2B5EF4-FFF2-40B4-BE49-F238E27FC236}">
              <a16:creationId xmlns:a16="http://schemas.microsoft.com/office/drawing/2014/main" id="{00000000-0008-0000-0100-0000D2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79" name="Text Box 72">
          <a:extLst>
            <a:ext uri="{FF2B5EF4-FFF2-40B4-BE49-F238E27FC236}">
              <a16:creationId xmlns:a16="http://schemas.microsoft.com/office/drawing/2014/main" id="{00000000-0008-0000-0100-0000D3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80" name="Text Box 73">
          <a:extLst>
            <a:ext uri="{FF2B5EF4-FFF2-40B4-BE49-F238E27FC236}">
              <a16:creationId xmlns:a16="http://schemas.microsoft.com/office/drawing/2014/main" id="{00000000-0008-0000-0100-0000D4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81" name="Text Box 74">
          <a:extLst>
            <a:ext uri="{FF2B5EF4-FFF2-40B4-BE49-F238E27FC236}">
              <a16:creationId xmlns:a16="http://schemas.microsoft.com/office/drawing/2014/main" id="{00000000-0008-0000-0100-0000D5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82" name="Text Box 75">
          <a:extLst>
            <a:ext uri="{FF2B5EF4-FFF2-40B4-BE49-F238E27FC236}">
              <a16:creationId xmlns:a16="http://schemas.microsoft.com/office/drawing/2014/main" id="{00000000-0008-0000-0100-0000D6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83" name="Text Box 76">
          <a:extLst>
            <a:ext uri="{FF2B5EF4-FFF2-40B4-BE49-F238E27FC236}">
              <a16:creationId xmlns:a16="http://schemas.microsoft.com/office/drawing/2014/main" id="{00000000-0008-0000-0100-0000D7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84" name="Text Box 77">
          <a:extLst>
            <a:ext uri="{FF2B5EF4-FFF2-40B4-BE49-F238E27FC236}">
              <a16:creationId xmlns:a16="http://schemas.microsoft.com/office/drawing/2014/main" id="{00000000-0008-0000-0100-0000D8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85" name="Text Box 78">
          <a:extLst>
            <a:ext uri="{FF2B5EF4-FFF2-40B4-BE49-F238E27FC236}">
              <a16:creationId xmlns:a16="http://schemas.microsoft.com/office/drawing/2014/main" id="{00000000-0008-0000-0100-0000D9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86" name="Text Box 79">
          <a:extLst>
            <a:ext uri="{FF2B5EF4-FFF2-40B4-BE49-F238E27FC236}">
              <a16:creationId xmlns:a16="http://schemas.microsoft.com/office/drawing/2014/main" id="{00000000-0008-0000-0100-0000DA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87" name="Text Box 80">
          <a:extLst>
            <a:ext uri="{FF2B5EF4-FFF2-40B4-BE49-F238E27FC236}">
              <a16:creationId xmlns:a16="http://schemas.microsoft.com/office/drawing/2014/main" id="{00000000-0008-0000-0100-0000DB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88" name="Text Box 81">
          <a:extLst>
            <a:ext uri="{FF2B5EF4-FFF2-40B4-BE49-F238E27FC236}">
              <a16:creationId xmlns:a16="http://schemas.microsoft.com/office/drawing/2014/main" id="{00000000-0008-0000-0100-0000DC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89" name="Text Box 82">
          <a:extLst>
            <a:ext uri="{FF2B5EF4-FFF2-40B4-BE49-F238E27FC236}">
              <a16:creationId xmlns:a16="http://schemas.microsoft.com/office/drawing/2014/main" id="{00000000-0008-0000-0100-0000DD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90" name="Text Box 83">
          <a:extLst>
            <a:ext uri="{FF2B5EF4-FFF2-40B4-BE49-F238E27FC236}">
              <a16:creationId xmlns:a16="http://schemas.microsoft.com/office/drawing/2014/main" id="{00000000-0008-0000-0100-0000DE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91" name="Text Box 84">
          <a:extLst>
            <a:ext uri="{FF2B5EF4-FFF2-40B4-BE49-F238E27FC236}">
              <a16:creationId xmlns:a16="http://schemas.microsoft.com/office/drawing/2014/main" id="{00000000-0008-0000-0100-0000DF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92" name="Text Box 85">
          <a:extLst>
            <a:ext uri="{FF2B5EF4-FFF2-40B4-BE49-F238E27FC236}">
              <a16:creationId xmlns:a16="http://schemas.microsoft.com/office/drawing/2014/main" id="{00000000-0008-0000-0100-0000E0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93" name="Text Box 86">
          <a:extLst>
            <a:ext uri="{FF2B5EF4-FFF2-40B4-BE49-F238E27FC236}">
              <a16:creationId xmlns:a16="http://schemas.microsoft.com/office/drawing/2014/main" id="{00000000-0008-0000-0100-0000E1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94" name="Text Box 87">
          <a:extLst>
            <a:ext uri="{FF2B5EF4-FFF2-40B4-BE49-F238E27FC236}">
              <a16:creationId xmlns:a16="http://schemas.microsoft.com/office/drawing/2014/main" id="{00000000-0008-0000-0100-0000E2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95" name="Text Box 88">
          <a:extLst>
            <a:ext uri="{FF2B5EF4-FFF2-40B4-BE49-F238E27FC236}">
              <a16:creationId xmlns:a16="http://schemas.microsoft.com/office/drawing/2014/main" id="{00000000-0008-0000-0100-0000E3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96" name="Text Box 89">
          <a:extLst>
            <a:ext uri="{FF2B5EF4-FFF2-40B4-BE49-F238E27FC236}">
              <a16:creationId xmlns:a16="http://schemas.microsoft.com/office/drawing/2014/main" id="{00000000-0008-0000-0100-0000E4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97" name="Text Box 90">
          <a:extLst>
            <a:ext uri="{FF2B5EF4-FFF2-40B4-BE49-F238E27FC236}">
              <a16:creationId xmlns:a16="http://schemas.microsoft.com/office/drawing/2014/main" id="{00000000-0008-0000-0100-0000E5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98" name="Text Box 91">
          <a:extLst>
            <a:ext uri="{FF2B5EF4-FFF2-40B4-BE49-F238E27FC236}">
              <a16:creationId xmlns:a16="http://schemas.microsoft.com/office/drawing/2014/main" id="{00000000-0008-0000-0100-0000E6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999" name="Text Box 92">
          <a:extLst>
            <a:ext uri="{FF2B5EF4-FFF2-40B4-BE49-F238E27FC236}">
              <a16:creationId xmlns:a16="http://schemas.microsoft.com/office/drawing/2014/main" id="{00000000-0008-0000-0100-0000E7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00" name="Text Box 93">
          <a:extLst>
            <a:ext uri="{FF2B5EF4-FFF2-40B4-BE49-F238E27FC236}">
              <a16:creationId xmlns:a16="http://schemas.microsoft.com/office/drawing/2014/main" id="{00000000-0008-0000-0100-0000E8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01" name="Text Box 94">
          <a:extLst>
            <a:ext uri="{FF2B5EF4-FFF2-40B4-BE49-F238E27FC236}">
              <a16:creationId xmlns:a16="http://schemas.microsoft.com/office/drawing/2014/main" id="{00000000-0008-0000-0100-0000E9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02" name="Text Box 95">
          <a:extLst>
            <a:ext uri="{FF2B5EF4-FFF2-40B4-BE49-F238E27FC236}">
              <a16:creationId xmlns:a16="http://schemas.microsoft.com/office/drawing/2014/main" id="{00000000-0008-0000-0100-0000EA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03" name="Text Box 96">
          <a:extLst>
            <a:ext uri="{FF2B5EF4-FFF2-40B4-BE49-F238E27FC236}">
              <a16:creationId xmlns:a16="http://schemas.microsoft.com/office/drawing/2014/main" id="{00000000-0008-0000-0100-0000EB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04" name="Text Box 97">
          <a:extLst>
            <a:ext uri="{FF2B5EF4-FFF2-40B4-BE49-F238E27FC236}">
              <a16:creationId xmlns:a16="http://schemas.microsoft.com/office/drawing/2014/main" id="{00000000-0008-0000-0100-0000EC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05" name="Text Box 98">
          <a:extLst>
            <a:ext uri="{FF2B5EF4-FFF2-40B4-BE49-F238E27FC236}">
              <a16:creationId xmlns:a16="http://schemas.microsoft.com/office/drawing/2014/main" id="{00000000-0008-0000-0100-0000ED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06" name="Text Box 99">
          <a:extLst>
            <a:ext uri="{FF2B5EF4-FFF2-40B4-BE49-F238E27FC236}">
              <a16:creationId xmlns:a16="http://schemas.microsoft.com/office/drawing/2014/main" id="{00000000-0008-0000-0100-0000EE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07" name="Text Box 100">
          <a:extLst>
            <a:ext uri="{FF2B5EF4-FFF2-40B4-BE49-F238E27FC236}">
              <a16:creationId xmlns:a16="http://schemas.microsoft.com/office/drawing/2014/main" id="{00000000-0008-0000-0100-0000EF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08" name="Text Box 101">
          <a:extLst>
            <a:ext uri="{FF2B5EF4-FFF2-40B4-BE49-F238E27FC236}">
              <a16:creationId xmlns:a16="http://schemas.microsoft.com/office/drawing/2014/main" id="{00000000-0008-0000-0100-0000F0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09" name="Text Box 102">
          <a:extLst>
            <a:ext uri="{FF2B5EF4-FFF2-40B4-BE49-F238E27FC236}">
              <a16:creationId xmlns:a16="http://schemas.microsoft.com/office/drawing/2014/main" id="{00000000-0008-0000-0100-0000F1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10" name="Text Box 103">
          <a:extLst>
            <a:ext uri="{FF2B5EF4-FFF2-40B4-BE49-F238E27FC236}">
              <a16:creationId xmlns:a16="http://schemas.microsoft.com/office/drawing/2014/main" id="{00000000-0008-0000-0100-0000F2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11" name="Text Box 104">
          <a:extLst>
            <a:ext uri="{FF2B5EF4-FFF2-40B4-BE49-F238E27FC236}">
              <a16:creationId xmlns:a16="http://schemas.microsoft.com/office/drawing/2014/main" id="{00000000-0008-0000-0100-0000F3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12" name="Text Box 105">
          <a:extLst>
            <a:ext uri="{FF2B5EF4-FFF2-40B4-BE49-F238E27FC236}">
              <a16:creationId xmlns:a16="http://schemas.microsoft.com/office/drawing/2014/main" id="{00000000-0008-0000-0100-0000F4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13" name="Text Box 106">
          <a:extLst>
            <a:ext uri="{FF2B5EF4-FFF2-40B4-BE49-F238E27FC236}">
              <a16:creationId xmlns:a16="http://schemas.microsoft.com/office/drawing/2014/main" id="{00000000-0008-0000-0100-0000F5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14" name="Text Box 107">
          <a:extLst>
            <a:ext uri="{FF2B5EF4-FFF2-40B4-BE49-F238E27FC236}">
              <a16:creationId xmlns:a16="http://schemas.microsoft.com/office/drawing/2014/main" id="{00000000-0008-0000-0100-0000F6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15" name="Text Box 108">
          <a:extLst>
            <a:ext uri="{FF2B5EF4-FFF2-40B4-BE49-F238E27FC236}">
              <a16:creationId xmlns:a16="http://schemas.microsoft.com/office/drawing/2014/main" id="{00000000-0008-0000-0100-0000F7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16" name="Text Box 109">
          <a:extLst>
            <a:ext uri="{FF2B5EF4-FFF2-40B4-BE49-F238E27FC236}">
              <a16:creationId xmlns:a16="http://schemas.microsoft.com/office/drawing/2014/main" id="{00000000-0008-0000-0100-0000F8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17" name="Text Box 110">
          <a:extLst>
            <a:ext uri="{FF2B5EF4-FFF2-40B4-BE49-F238E27FC236}">
              <a16:creationId xmlns:a16="http://schemas.microsoft.com/office/drawing/2014/main" id="{00000000-0008-0000-0100-0000F9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18" name="Text Box 111">
          <a:extLst>
            <a:ext uri="{FF2B5EF4-FFF2-40B4-BE49-F238E27FC236}">
              <a16:creationId xmlns:a16="http://schemas.microsoft.com/office/drawing/2014/main" id="{00000000-0008-0000-0100-0000FA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19" name="Text Box 112">
          <a:extLst>
            <a:ext uri="{FF2B5EF4-FFF2-40B4-BE49-F238E27FC236}">
              <a16:creationId xmlns:a16="http://schemas.microsoft.com/office/drawing/2014/main" id="{00000000-0008-0000-0100-0000FB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20" name="Text Box 113">
          <a:extLst>
            <a:ext uri="{FF2B5EF4-FFF2-40B4-BE49-F238E27FC236}">
              <a16:creationId xmlns:a16="http://schemas.microsoft.com/office/drawing/2014/main" id="{00000000-0008-0000-0100-0000FC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21" name="Text Box 114">
          <a:extLst>
            <a:ext uri="{FF2B5EF4-FFF2-40B4-BE49-F238E27FC236}">
              <a16:creationId xmlns:a16="http://schemas.microsoft.com/office/drawing/2014/main" id="{00000000-0008-0000-0100-0000FD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22" name="Text Box 115">
          <a:extLst>
            <a:ext uri="{FF2B5EF4-FFF2-40B4-BE49-F238E27FC236}">
              <a16:creationId xmlns:a16="http://schemas.microsoft.com/office/drawing/2014/main" id="{00000000-0008-0000-0100-0000FE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23" name="Text Box 116">
          <a:extLst>
            <a:ext uri="{FF2B5EF4-FFF2-40B4-BE49-F238E27FC236}">
              <a16:creationId xmlns:a16="http://schemas.microsoft.com/office/drawing/2014/main" id="{00000000-0008-0000-0100-0000FF03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24" name="Text Box 117">
          <a:extLst>
            <a:ext uri="{FF2B5EF4-FFF2-40B4-BE49-F238E27FC236}">
              <a16:creationId xmlns:a16="http://schemas.microsoft.com/office/drawing/2014/main" id="{00000000-0008-0000-0100-00000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25" name="Text Box 118">
          <a:extLst>
            <a:ext uri="{FF2B5EF4-FFF2-40B4-BE49-F238E27FC236}">
              <a16:creationId xmlns:a16="http://schemas.microsoft.com/office/drawing/2014/main" id="{00000000-0008-0000-0100-00000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26" name="Text Box 119">
          <a:extLst>
            <a:ext uri="{FF2B5EF4-FFF2-40B4-BE49-F238E27FC236}">
              <a16:creationId xmlns:a16="http://schemas.microsoft.com/office/drawing/2014/main" id="{00000000-0008-0000-0100-00000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27" name="Text Box 120">
          <a:extLst>
            <a:ext uri="{FF2B5EF4-FFF2-40B4-BE49-F238E27FC236}">
              <a16:creationId xmlns:a16="http://schemas.microsoft.com/office/drawing/2014/main" id="{00000000-0008-0000-0100-00000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28" name="Text Box 121">
          <a:extLst>
            <a:ext uri="{FF2B5EF4-FFF2-40B4-BE49-F238E27FC236}">
              <a16:creationId xmlns:a16="http://schemas.microsoft.com/office/drawing/2014/main" id="{00000000-0008-0000-0100-00000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29" name="Text Box 122">
          <a:extLst>
            <a:ext uri="{FF2B5EF4-FFF2-40B4-BE49-F238E27FC236}">
              <a16:creationId xmlns:a16="http://schemas.microsoft.com/office/drawing/2014/main" id="{00000000-0008-0000-0100-00000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30" name="Text Box 123">
          <a:extLst>
            <a:ext uri="{FF2B5EF4-FFF2-40B4-BE49-F238E27FC236}">
              <a16:creationId xmlns:a16="http://schemas.microsoft.com/office/drawing/2014/main" id="{00000000-0008-0000-0100-00000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31" name="Text Box 124">
          <a:extLst>
            <a:ext uri="{FF2B5EF4-FFF2-40B4-BE49-F238E27FC236}">
              <a16:creationId xmlns:a16="http://schemas.microsoft.com/office/drawing/2014/main" id="{00000000-0008-0000-0100-00000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32" name="Text Box 125">
          <a:extLst>
            <a:ext uri="{FF2B5EF4-FFF2-40B4-BE49-F238E27FC236}">
              <a16:creationId xmlns:a16="http://schemas.microsoft.com/office/drawing/2014/main" id="{00000000-0008-0000-0100-00000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33" name="Text Box 126">
          <a:extLst>
            <a:ext uri="{FF2B5EF4-FFF2-40B4-BE49-F238E27FC236}">
              <a16:creationId xmlns:a16="http://schemas.microsoft.com/office/drawing/2014/main" id="{00000000-0008-0000-0100-00000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34" name="Text Box 127">
          <a:extLst>
            <a:ext uri="{FF2B5EF4-FFF2-40B4-BE49-F238E27FC236}">
              <a16:creationId xmlns:a16="http://schemas.microsoft.com/office/drawing/2014/main" id="{00000000-0008-0000-0100-00000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35" name="Text Box 128">
          <a:extLst>
            <a:ext uri="{FF2B5EF4-FFF2-40B4-BE49-F238E27FC236}">
              <a16:creationId xmlns:a16="http://schemas.microsoft.com/office/drawing/2014/main" id="{00000000-0008-0000-0100-00000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36" name="Text Box 129">
          <a:extLst>
            <a:ext uri="{FF2B5EF4-FFF2-40B4-BE49-F238E27FC236}">
              <a16:creationId xmlns:a16="http://schemas.microsoft.com/office/drawing/2014/main" id="{00000000-0008-0000-0100-00000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37" name="Text Box 130">
          <a:extLst>
            <a:ext uri="{FF2B5EF4-FFF2-40B4-BE49-F238E27FC236}">
              <a16:creationId xmlns:a16="http://schemas.microsoft.com/office/drawing/2014/main" id="{00000000-0008-0000-0100-00000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38" name="Text Box 131">
          <a:extLst>
            <a:ext uri="{FF2B5EF4-FFF2-40B4-BE49-F238E27FC236}">
              <a16:creationId xmlns:a16="http://schemas.microsoft.com/office/drawing/2014/main" id="{00000000-0008-0000-0100-00000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39" name="Text Box 132">
          <a:extLst>
            <a:ext uri="{FF2B5EF4-FFF2-40B4-BE49-F238E27FC236}">
              <a16:creationId xmlns:a16="http://schemas.microsoft.com/office/drawing/2014/main" id="{00000000-0008-0000-0100-00000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40" name="Text Box 133">
          <a:extLst>
            <a:ext uri="{FF2B5EF4-FFF2-40B4-BE49-F238E27FC236}">
              <a16:creationId xmlns:a16="http://schemas.microsoft.com/office/drawing/2014/main" id="{00000000-0008-0000-0100-00001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41" name="Text Box 134">
          <a:extLst>
            <a:ext uri="{FF2B5EF4-FFF2-40B4-BE49-F238E27FC236}">
              <a16:creationId xmlns:a16="http://schemas.microsoft.com/office/drawing/2014/main" id="{00000000-0008-0000-0100-00001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42" name="Text Box 135">
          <a:extLst>
            <a:ext uri="{FF2B5EF4-FFF2-40B4-BE49-F238E27FC236}">
              <a16:creationId xmlns:a16="http://schemas.microsoft.com/office/drawing/2014/main" id="{00000000-0008-0000-0100-00001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43" name="Text Box 136">
          <a:extLst>
            <a:ext uri="{FF2B5EF4-FFF2-40B4-BE49-F238E27FC236}">
              <a16:creationId xmlns:a16="http://schemas.microsoft.com/office/drawing/2014/main" id="{00000000-0008-0000-0100-00001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44" name="Text Box 137">
          <a:extLst>
            <a:ext uri="{FF2B5EF4-FFF2-40B4-BE49-F238E27FC236}">
              <a16:creationId xmlns:a16="http://schemas.microsoft.com/office/drawing/2014/main" id="{00000000-0008-0000-0100-00001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45" name="Text Box 138">
          <a:extLst>
            <a:ext uri="{FF2B5EF4-FFF2-40B4-BE49-F238E27FC236}">
              <a16:creationId xmlns:a16="http://schemas.microsoft.com/office/drawing/2014/main" id="{00000000-0008-0000-0100-00001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46" name="Text Box 139">
          <a:extLst>
            <a:ext uri="{FF2B5EF4-FFF2-40B4-BE49-F238E27FC236}">
              <a16:creationId xmlns:a16="http://schemas.microsoft.com/office/drawing/2014/main" id="{00000000-0008-0000-0100-00001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47" name="Text Box 140">
          <a:extLst>
            <a:ext uri="{FF2B5EF4-FFF2-40B4-BE49-F238E27FC236}">
              <a16:creationId xmlns:a16="http://schemas.microsoft.com/office/drawing/2014/main" id="{00000000-0008-0000-0100-00001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48" name="Text Box 141">
          <a:extLst>
            <a:ext uri="{FF2B5EF4-FFF2-40B4-BE49-F238E27FC236}">
              <a16:creationId xmlns:a16="http://schemas.microsoft.com/office/drawing/2014/main" id="{00000000-0008-0000-0100-00001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49" name="Text Box 142">
          <a:extLst>
            <a:ext uri="{FF2B5EF4-FFF2-40B4-BE49-F238E27FC236}">
              <a16:creationId xmlns:a16="http://schemas.microsoft.com/office/drawing/2014/main" id="{00000000-0008-0000-0100-00001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50" name="Text Box 143">
          <a:extLst>
            <a:ext uri="{FF2B5EF4-FFF2-40B4-BE49-F238E27FC236}">
              <a16:creationId xmlns:a16="http://schemas.microsoft.com/office/drawing/2014/main" id="{00000000-0008-0000-0100-00001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51" name="Text Box 144">
          <a:extLst>
            <a:ext uri="{FF2B5EF4-FFF2-40B4-BE49-F238E27FC236}">
              <a16:creationId xmlns:a16="http://schemas.microsoft.com/office/drawing/2014/main" id="{00000000-0008-0000-0100-00001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52" name="Text Box 146">
          <a:extLst>
            <a:ext uri="{FF2B5EF4-FFF2-40B4-BE49-F238E27FC236}">
              <a16:creationId xmlns:a16="http://schemas.microsoft.com/office/drawing/2014/main" id="{00000000-0008-0000-0100-00001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53" name="Text Box 147">
          <a:extLst>
            <a:ext uri="{FF2B5EF4-FFF2-40B4-BE49-F238E27FC236}">
              <a16:creationId xmlns:a16="http://schemas.microsoft.com/office/drawing/2014/main" id="{00000000-0008-0000-0100-00001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54" name="Text Box 148">
          <a:extLst>
            <a:ext uri="{FF2B5EF4-FFF2-40B4-BE49-F238E27FC236}">
              <a16:creationId xmlns:a16="http://schemas.microsoft.com/office/drawing/2014/main" id="{00000000-0008-0000-0100-00001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55" name="Text Box 149">
          <a:extLst>
            <a:ext uri="{FF2B5EF4-FFF2-40B4-BE49-F238E27FC236}">
              <a16:creationId xmlns:a16="http://schemas.microsoft.com/office/drawing/2014/main" id="{00000000-0008-0000-0100-00001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56" name="Text Box 150">
          <a:extLst>
            <a:ext uri="{FF2B5EF4-FFF2-40B4-BE49-F238E27FC236}">
              <a16:creationId xmlns:a16="http://schemas.microsoft.com/office/drawing/2014/main" id="{00000000-0008-0000-0100-00002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57" name="Text Box 151">
          <a:extLst>
            <a:ext uri="{FF2B5EF4-FFF2-40B4-BE49-F238E27FC236}">
              <a16:creationId xmlns:a16="http://schemas.microsoft.com/office/drawing/2014/main" id="{00000000-0008-0000-0100-00002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58" name="Text Box 152">
          <a:extLst>
            <a:ext uri="{FF2B5EF4-FFF2-40B4-BE49-F238E27FC236}">
              <a16:creationId xmlns:a16="http://schemas.microsoft.com/office/drawing/2014/main" id="{00000000-0008-0000-0100-00002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59" name="Text Box 153">
          <a:extLst>
            <a:ext uri="{FF2B5EF4-FFF2-40B4-BE49-F238E27FC236}">
              <a16:creationId xmlns:a16="http://schemas.microsoft.com/office/drawing/2014/main" id="{00000000-0008-0000-0100-00002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60" name="Text Box 154">
          <a:extLst>
            <a:ext uri="{FF2B5EF4-FFF2-40B4-BE49-F238E27FC236}">
              <a16:creationId xmlns:a16="http://schemas.microsoft.com/office/drawing/2014/main" id="{00000000-0008-0000-0100-00002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61" name="Text Box 155">
          <a:extLst>
            <a:ext uri="{FF2B5EF4-FFF2-40B4-BE49-F238E27FC236}">
              <a16:creationId xmlns:a16="http://schemas.microsoft.com/office/drawing/2014/main" id="{00000000-0008-0000-0100-00002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62" name="Text Box 156">
          <a:extLst>
            <a:ext uri="{FF2B5EF4-FFF2-40B4-BE49-F238E27FC236}">
              <a16:creationId xmlns:a16="http://schemas.microsoft.com/office/drawing/2014/main" id="{00000000-0008-0000-0100-00002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63" name="Text Box 157">
          <a:extLst>
            <a:ext uri="{FF2B5EF4-FFF2-40B4-BE49-F238E27FC236}">
              <a16:creationId xmlns:a16="http://schemas.microsoft.com/office/drawing/2014/main" id="{00000000-0008-0000-0100-00002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64" name="Text Box 158">
          <a:extLst>
            <a:ext uri="{FF2B5EF4-FFF2-40B4-BE49-F238E27FC236}">
              <a16:creationId xmlns:a16="http://schemas.microsoft.com/office/drawing/2014/main" id="{00000000-0008-0000-0100-00002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65" name="Text Box 159">
          <a:extLst>
            <a:ext uri="{FF2B5EF4-FFF2-40B4-BE49-F238E27FC236}">
              <a16:creationId xmlns:a16="http://schemas.microsoft.com/office/drawing/2014/main" id="{00000000-0008-0000-0100-00002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66" name="Text Box 160">
          <a:extLst>
            <a:ext uri="{FF2B5EF4-FFF2-40B4-BE49-F238E27FC236}">
              <a16:creationId xmlns:a16="http://schemas.microsoft.com/office/drawing/2014/main" id="{00000000-0008-0000-0100-00002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67" name="Text Box 161">
          <a:extLst>
            <a:ext uri="{FF2B5EF4-FFF2-40B4-BE49-F238E27FC236}">
              <a16:creationId xmlns:a16="http://schemas.microsoft.com/office/drawing/2014/main" id="{00000000-0008-0000-0100-00002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68" name="Text Box 162">
          <a:extLst>
            <a:ext uri="{FF2B5EF4-FFF2-40B4-BE49-F238E27FC236}">
              <a16:creationId xmlns:a16="http://schemas.microsoft.com/office/drawing/2014/main" id="{00000000-0008-0000-0100-00002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69" name="Text Box 163">
          <a:extLst>
            <a:ext uri="{FF2B5EF4-FFF2-40B4-BE49-F238E27FC236}">
              <a16:creationId xmlns:a16="http://schemas.microsoft.com/office/drawing/2014/main" id="{00000000-0008-0000-0100-00002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70" name="Text Box 164">
          <a:extLst>
            <a:ext uri="{FF2B5EF4-FFF2-40B4-BE49-F238E27FC236}">
              <a16:creationId xmlns:a16="http://schemas.microsoft.com/office/drawing/2014/main" id="{00000000-0008-0000-0100-00002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71" name="Text Box 165">
          <a:extLst>
            <a:ext uri="{FF2B5EF4-FFF2-40B4-BE49-F238E27FC236}">
              <a16:creationId xmlns:a16="http://schemas.microsoft.com/office/drawing/2014/main" id="{00000000-0008-0000-0100-00002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72" name="Text Box 166">
          <a:extLst>
            <a:ext uri="{FF2B5EF4-FFF2-40B4-BE49-F238E27FC236}">
              <a16:creationId xmlns:a16="http://schemas.microsoft.com/office/drawing/2014/main" id="{00000000-0008-0000-0100-00003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73" name="Text Box 167">
          <a:extLst>
            <a:ext uri="{FF2B5EF4-FFF2-40B4-BE49-F238E27FC236}">
              <a16:creationId xmlns:a16="http://schemas.microsoft.com/office/drawing/2014/main" id="{00000000-0008-0000-0100-00003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74" name="Text Box 168">
          <a:extLst>
            <a:ext uri="{FF2B5EF4-FFF2-40B4-BE49-F238E27FC236}">
              <a16:creationId xmlns:a16="http://schemas.microsoft.com/office/drawing/2014/main" id="{00000000-0008-0000-0100-00003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75" name="Text Box 169">
          <a:extLst>
            <a:ext uri="{FF2B5EF4-FFF2-40B4-BE49-F238E27FC236}">
              <a16:creationId xmlns:a16="http://schemas.microsoft.com/office/drawing/2014/main" id="{00000000-0008-0000-0100-00003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76" name="Text Box 170">
          <a:extLst>
            <a:ext uri="{FF2B5EF4-FFF2-40B4-BE49-F238E27FC236}">
              <a16:creationId xmlns:a16="http://schemas.microsoft.com/office/drawing/2014/main" id="{00000000-0008-0000-0100-00003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77" name="Text Box 171">
          <a:extLst>
            <a:ext uri="{FF2B5EF4-FFF2-40B4-BE49-F238E27FC236}">
              <a16:creationId xmlns:a16="http://schemas.microsoft.com/office/drawing/2014/main" id="{00000000-0008-0000-0100-00003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78" name="Text Box 172">
          <a:extLst>
            <a:ext uri="{FF2B5EF4-FFF2-40B4-BE49-F238E27FC236}">
              <a16:creationId xmlns:a16="http://schemas.microsoft.com/office/drawing/2014/main" id="{00000000-0008-0000-0100-00003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79" name="Text Box 173">
          <a:extLst>
            <a:ext uri="{FF2B5EF4-FFF2-40B4-BE49-F238E27FC236}">
              <a16:creationId xmlns:a16="http://schemas.microsoft.com/office/drawing/2014/main" id="{00000000-0008-0000-0100-00003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80" name="Text Box 174">
          <a:extLst>
            <a:ext uri="{FF2B5EF4-FFF2-40B4-BE49-F238E27FC236}">
              <a16:creationId xmlns:a16="http://schemas.microsoft.com/office/drawing/2014/main" id="{00000000-0008-0000-0100-00003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81" name="Text Box 175">
          <a:extLst>
            <a:ext uri="{FF2B5EF4-FFF2-40B4-BE49-F238E27FC236}">
              <a16:creationId xmlns:a16="http://schemas.microsoft.com/office/drawing/2014/main" id="{00000000-0008-0000-0100-00003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82" name="Text Box 176">
          <a:extLst>
            <a:ext uri="{FF2B5EF4-FFF2-40B4-BE49-F238E27FC236}">
              <a16:creationId xmlns:a16="http://schemas.microsoft.com/office/drawing/2014/main" id="{00000000-0008-0000-0100-00003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83" name="Text Box 177">
          <a:extLst>
            <a:ext uri="{FF2B5EF4-FFF2-40B4-BE49-F238E27FC236}">
              <a16:creationId xmlns:a16="http://schemas.microsoft.com/office/drawing/2014/main" id="{00000000-0008-0000-0100-00003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84" name="Text Box 178">
          <a:extLst>
            <a:ext uri="{FF2B5EF4-FFF2-40B4-BE49-F238E27FC236}">
              <a16:creationId xmlns:a16="http://schemas.microsoft.com/office/drawing/2014/main" id="{00000000-0008-0000-0100-00003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85" name="Text Box 179">
          <a:extLst>
            <a:ext uri="{FF2B5EF4-FFF2-40B4-BE49-F238E27FC236}">
              <a16:creationId xmlns:a16="http://schemas.microsoft.com/office/drawing/2014/main" id="{00000000-0008-0000-0100-00003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86" name="Text Box 180">
          <a:extLst>
            <a:ext uri="{FF2B5EF4-FFF2-40B4-BE49-F238E27FC236}">
              <a16:creationId xmlns:a16="http://schemas.microsoft.com/office/drawing/2014/main" id="{00000000-0008-0000-0100-00003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87" name="Text Box 181">
          <a:extLst>
            <a:ext uri="{FF2B5EF4-FFF2-40B4-BE49-F238E27FC236}">
              <a16:creationId xmlns:a16="http://schemas.microsoft.com/office/drawing/2014/main" id="{00000000-0008-0000-0100-00003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88" name="Text Box 182">
          <a:extLst>
            <a:ext uri="{FF2B5EF4-FFF2-40B4-BE49-F238E27FC236}">
              <a16:creationId xmlns:a16="http://schemas.microsoft.com/office/drawing/2014/main" id="{00000000-0008-0000-0100-00004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89" name="Text Box 183">
          <a:extLst>
            <a:ext uri="{FF2B5EF4-FFF2-40B4-BE49-F238E27FC236}">
              <a16:creationId xmlns:a16="http://schemas.microsoft.com/office/drawing/2014/main" id="{00000000-0008-0000-0100-00004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90" name="Text Box 184">
          <a:extLst>
            <a:ext uri="{FF2B5EF4-FFF2-40B4-BE49-F238E27FC236}">
              <a16:creationId xmlns:a16="http://schemas.microsoft.com/office/drawing/2014/main" id="{00000000-0008-0000-0100-00004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91" name="Text Box 185">
          <a:extLst>
            <a:ext uri="{FF2B5EF4-FFF2-40B4-BE49-F238E27FC236}">
              <a16:creationId xmlns:a16="http://schemas.microsoft.com/office/drawing/2014/main" id="{00000000-0008-0000-0100-00004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92" name="Text Box 186">
          <a:extLst>
            <a:ext uri="{FF2B5EF4-FFF2-40B4-BE49-F238E27FC236}">
              <a16:creationId xmlns:a16="http://schemas.microsoft.com/office/drawing/2014/main" id="{00000000-0008-0000-0100-00004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93" name="Text Box 187">
          <a:extLst>
            <a:ext uri="{FF2B5EF4-FFF2-40B4-BE49-F238E27FC236}">
              <a16:creationId xmlns:a16="http://schemas.microsoft.com/office/drawing/2014/main" id="{00000000-0008-0000-0100-00004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94" name="Text Box 188">
          <a:extLst>
            <a:ext uri="{FF2B5EF4-FFF2-40B4-BE49-F238E27FC236}">
              <a16:creationId xmlns:a16="http://schemas.microsoft.com/office/drawing/2014/main" id="{00000000-0008-0000-0100-00004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95" name="Text Box 189">
          <a:extLst>
            <a:ext uri="{FF2B5EF4-FFF2-40B4-BE49-F238E27FC236}">
              <a16:creationId xmlns:a16="http://schemas.microsoft.com/office/drawing/2014/main" id="{00000000-0008-0000-0100-00004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96" name="Text Box 190">
          <a:extLst>
            <a:ext uri="{FF2B5EF4-FFF2-40B4-BE49-F238E27FC236}">
              <a16:creationId xmlns:a16="http://schemas.microsoft.com/office/drawing/2014/main" id="{00000000-0008-0000-0100-00004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97" name="Text Box 191">
          <a:extLst>
            <a:ext uri="{FF2B5EF4-FFF2-40B4-BE49-F238E27FC236}">
              <a16:creationId xmlns:a16="http://schemas.microsoft.com/office/drawing/2014/main" id="{00000000-0008-0000-0100-00004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98" name="Text Box 192">
          <a:extLst>
            <a:ext uri="{FF2B5EF4-FFF2-40B4-BE49-F238E27FC236}">
              <a16:creationId xmlns:a16="http://schemas.microsoft.com/office/drawing/2014/main" id="{00000000-0008-0000-0100-00004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099" name="Text Box 193">
          <a:extLst>
            <a:ext uri="{FF2B5EF4-FFF2-40B4-BE49-F238E27FC236}">
              <a16:creationId xmlns:a16="http://schemas.microsoft.com/office/drawing/2014/main" id="{00000000-0008-0000-0100-00004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00" name="Text Box 194">
          <a:extLst>
            <a:ext uri="{FF2B5EF4-FFF2-40B4-BE49-F238E27FC236}">
              <a16:creationId xmlns:a16="http://schemas.microsoft.com/office/drawing/2014/main" id="{00000000-0008-0000-0100-00004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01" name="Text Box 195">
          <a:extLst>
            <a:ext uri="{FF2B5EF4-FFF2-40B4-BE49-F238E27FC236}">
              <a16:creationId xmlns:a16="http://schemas.microsoft.com/office/drawing/2014/main" id="{00000000-0008-0000-0100-00004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02" name="Text Box 196">
          <a:extLst>
            <a:ext uri="{FF2B5EF4-FFF2-40B4-BE49-F238E27FC236}">
              <a16:creationId xmlns:a16="http://schemas.microsoft.com/office/drawing/2014/main" id="{00000000-0008-0000-0100-00004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03" name="Text Box 197">
          <a:extLst>
            <a:ext uri="{FF2B5EF4-FFF2-40B4-BE49-F238E27FC236}">
              <a16:creationId xmlns:a16="http://schemas.microsoft.com/office/drawing/2014/main" id="{00000000-0008-0000-0100-00004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04" name="Text Box 198">
          <a:extLst>
            <a:ext uri="{FF2B5EF4-FFF2-40B4-BE49-F238E27FC236}">
              <a16:creationId xmlns:a16="http://schemas.microsoft.com/office/drawing/2014/main" id="{00000000-0008-0000-0100-00005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05" name="Text Box 199">
          <a:extLst>
            <a:ext uri="{FF2B5EF4-FFF2-40B4-BE49-F238E27FC236}">
              <a16:creationId xmlns:a16="http://schemas.microsoft.com/office/drawing/2014/main" id="{00000000-0008-0000-0100-00005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06" name="Text Box 200">
          <a:extLst>
            <a:ext uri="{FF2B5EF4-FFF2-40B4-BE49-F238E27FC236}">
              <a16:creationId xmlns:a16="http://schemas.microsoft.com/office/drawing/2014/main" id="{00000000-0008-0000-0100-00005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07" name="Text Box 201">
          <a:extLst>
            <a:ext uri="{FF2B5EF4-FFF2-40B4-BE49-F238E27FC236}">
              <a16:creationId xmlns:a16="http://schemas.microsoft.com/office/drawing/2014/main" id="{00000000-0008-0000-0100-00005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08" name="Text Box 202">
          <a:extLst>
            <a:ext uri="{FF2B5EF4-FFF2-40B4-BE49-F238E27FC236}">
              <a16:creationId xmlns:a16="http://schemas.microsoft.com/office/drawing/2014/main" id="{00000000-0008-0000-0100-00005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09" name="Text Box 203">
          <a:extLst>
            <a:ext uri="{FF2B5EF4-FFF2-40B4-BE49-F238E27FC236}">
              <a16:creationId xmlns:a16="http://schemas.microsoft.com/office/drawing/2014/main" id="{00000000-0008-0000-0100-00005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10" name="Text Box 204">
          <a:extLst>
            <a:ext uri="{FF2B5EF4-FFF2-40B4-BE49-F238E27FC236}">
              <a16:creationId xmlns:a16="http://schemas.microsoft.com/office/drawing/2014/main" id="{00000000-0008-0000-0100-00005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11" name="Text Box 205">
          <a:extLst>
            <a:ext uri="{FF2B5EF4-FFF2-40B4-BE49-F238E27FC236}">
              <a16:creationId xmlns:a16="http://schemas.microsoft.com/office/drawing/2014/main" id="{00000000-0008-0000-0100-00005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12" name="Text Box 206">
          <a:extLst>
            <a:ext uri="{FF2B5EF4-FFF2-40B4-BE49-F238E27FC236}">
              <a16:creationId xmlns:a16="http://schemas.microsoft.com/office/drawing/2014/main" id="{00000000-0008-0000-0100-00005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13" name="Text Box 207">
          <a:extLst>
            <a:ext uri="{FF2B5EF4-FFF2-40B4-BE49-F238E27FC236}">
              <a16:creationId xmlns:a16="http://schemas.microsoft.com/office/drawing/2014/main" id="{00000000-0008-0000-0100-00005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14" name="Text Box 208">
          <a:extLst>
            <a:ext uri="{FF2B5EF4-FFF2-40B4-BE49-F238E27FC236}">
              <a16:creationId xmlns:a16="http://schemas.microsoft.com/office/drawing/2014/main" id="{00000000-0008-0000-0100-00005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15" name="Text Box 209">
          <a:extLst>
            <a:ext uri="{FF2B5EF4-FFF2-40B4-BE49-F238E27FC236}">
              <a16:creationId xmlns:a16="http://schemas.microsoft.com/office/drawing/2014/main" id="{00000000-0008-0000-0100-00005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16" name="Text Box 210">
          <a:extLst>
            <a:ext uri="{FF2B5EF4-FFF2-40B4-BE49-F238E27FC236}">
              <a16:creationId xmlns:a16="http://schemas.microsoft.com/office/drawing/2014/main" id="{00000000-0008-0000-0100-00005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17" name="Text Box 211">
          <a:extLst>
            <a:ext uri="{FF2B5EF4-FFF2-40B4-BE49-F238E27FC236}">
              <a16:creationId xmlns:a16="http://schemas.microsoft.com/office/drawing/2014/main" id="{00000000-0008-0000-0100-00005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18" name="Text Box 212">
          <a:extLst>
            <a:ext uri="{FF2B5EF4-FFF2-40B4-BE49-F238E27FC236}">
              <a16:creationId xmlns:a16="http://schemas.microsoft.com/office/drawing/2014/main" id="{00000000-0008-0000-0100-00005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19" name="Text Box 213">
          <a:extLst>
            <a:ext uri="{FF2B5EF4-FFF2-40B4-BE49-F238E27FC236}">
              <a16:creationId xmlns:a16="http://schemas.microsoft.com/office/drawing/2014/main" id="{00000000-0008-0000-0100-00005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20" name="Text Box 214">
          <a:extLst>
            <a:ext uri="{FF2B5EF4-FFF2-40B4-BE49-F238E27FC236}">
              <a16:creationId xmlns:a16="http://schemas.microsoft.com/office/drawing/2014/main" id="{00000000-0008-0000-0100-00006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21" name="Text Box 215">
          <a:extLst>
            <a:ext uri="{FF2B5EF4-FFF2-40B4-BE49-F238E27FC236}">
              <a16:creationId xmlns:a16="http://schemas.microsoft.com/office/drawing/2014/main" id="{00000000-0008-0000-0100-00006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22" name="Text Box 216">
          <a:extLst>
            <a:ext uri="{FF2B5EF4-FFF2-40B4-BE49-F238E27FC236}">
              <a16:creationId xmlns:a16="http://schemas.microsoft.com/office/drawing/2014/main" id="{00000000-0008-0000-0100-00006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23" name="Text Box 217">
          <a:extLst>
            <a:ext uri="{FF2B5EF4-FFF2-40B4-BE49-F238E27FC236}">
              <a16:creationId xmlns:a16="http://schemas.microsoft.com/office/drawing/2014/main" id="{00000000-0008-0000-0100-00006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24" name="Text Box 218">
          <a:extLst>
            <a:ext uri="{FF2B5EF4-FFF2-40B4-BE49-F238E27FC236}">
              <a16:creationId xmlns:a16="http://schemas.microsoft.com/office/drawing/2014/main" id="{00000000-0008-0000-0100-00006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25" name="Text Box 219">
          <a:extLst>
            <a:ext uri="{FF2B5EF4-FFF2-40B4-BE49-F238E27FC236}">
              <a16:creationId xmlns:a16="http://schemas.microsoft.com/office/drawing/2014/main" id="{00000000-0008-0000-0100-00006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26" name="Text Box 220">
          <a:extLst>
            <a:ext uri="{FF2B5EF4-FFF2-40B4-BE49-F238E27FC236}">
              <a16:creationId xmlns:a16="http://schemas.microsoft.com/office/drawing/2014/main" id="{00000000-0008-0000-0100-00006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27" name="Text Box 221">
          <a:extLst>
            <a:ext uri="{FF2B5EF4-FFF2-40B4-BE49-F238E27FC236}">
              <a16:creationId xmlns:a16="http://schemas.microsoft.com/office/drawing/2014/main" id="{00000000-0008-0000-0100-00006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28" name="Text Box 222">
          <a:extLst>
            <a:ext uri="{FF2B5EF4-FFF2-40B4-BE49-F238E27FC236}">
              <a16:creationId xmlns:a16="http://schemas.microsoft.com/office/drawing/2014/main" id="{00000000-0008-0000-0100-00006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29" name="Text Box 223">
          <a:extLst>
            <a:ext uri="{FF2B5EF4-FFF2-40B4-BE49-F238E27FC236}">
              <a16:creationId xmlns:a16="http://schemas.microsoft.com/office/drawing/2014/main" id="{00000000-0008-0000-0100-00006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30" name="Text Box 224">
          <a:extLst>
            <a:ext uri="{FF2B5EF4-FFF2-40B4-BE49-F238E27FC236}">
              <a16:creationId xmlns:a16="http://schemas.microsoft.com/office/drawing/2014/main" id="{00000000-0008-0000-0100-00006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31" name="Text Box 225">
          <a:extLst>
            <a:ext uri="{FF2B5EF4-FFF2-40B4-BE49-F238E27FC236}">
              <a16:creationId xmlns:a16="http://schemas.microsoft.com/office/drawing/2014/main" id="{00000000-0008-0000-0100-00006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32" name="Text Box 226">
          <a:extLst>
            <a:ext uri="{FF2B5EF4-FFF2-40B4-BE49-F238E27FC236}">
              <a16:creationId xmlns:a16="http://schemas.microsoft.com/office/drawing/2014/main" id="{00000000-0008-0000-0100-00006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33" name="Text Box 227">
          <a:extLst>
            <a:ext uri="{FF2B5EF4-FFF2-40B4-BE49-F238E27FC236}">
              <a16:creationId xmlns:a16="http://schemas.microsoft.com/office/drawing/2014/main" id="{00000000-0008-0000-0100-00006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34" name="Text Box 228">
          <a:extLst>
            <a:ext uri="{FF2B5EF4-FFF2-40B4-BE49-F238E27FC236}">
              <a16:creationId xmlns:a16="http://schemas.microsoft.com/office/drawing/2014/main" id="{00000000-0008-0000-0100-00006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35" name="Text Box 229">
          <a:extLst>
            <a:ext uri="{FF2B5EF4-FFF2-40B4-BE49-F238E27FC236}">
              <a16:creationId xmlns:a16="http://schemas.microsoft.com/office/drawing/2014/main" id="{00000000-0008-0000-0100-00006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36" name="Text Box 230">
          <a:extLst>
            <a:ext uri="{FF2B5EF4-FFF2-40B4-BE49-F238E27FC236}">
              <a16:creationId xmlns:a16="http://schemas.microsoft.com/office/drawing/2014/main" id="{00000000-0008-0000-0100-00007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37" name="Text Box 231">
          <a:extLst>
            <a:ext uri="{FF2B5EF4-FFF2-40B4-BE49-F238E27FC236}">
              <a16:creationId xmlns:a16="http://schemas.microsoft.com/office/drawing/2014/main" id="{00000000-0008-0000-0100-00007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38" name="Text Box 232">
          <a:extLst>
            <a:ext uri="{FF2B5EF4-FFF2-40B4-BE49-F238E27FC236}">
              <a16:creationId xmlns:a16="http://schemas.microsoft.com/office/drawing/2014/main" id="{00000000-0008-0000-0100-00007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39" name="Text Box 233">
          <a:extLst>
            <a:ext uri="{FF2B5EF4-FFF2-40B4-BE49-F238E27FC236}">
              <a16:creationId xmlns:a16="http://schemas.microsoft.com/office/drawing/2014/main" id="{00000000-0008-0000-0100-00007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40" name="Text Box 234">
          <a:extLst>
            <a:ext uri="{FF2B5EF4-FFF2-40B4-BE49-F238E27FC236}">
              <a16:creationId xmlns:a16="http://schemas.microsoft.com/office/drawing/2014/main" id="{00000000-0008-0000-0100-00007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41" name="Text Box 235">
          <a:extLst>
            <a:ext uri="{FF2B5EF4-FFF2-40B4-BE49-F238E27FC236}">
              <a16:creationId xmlns:a16="http://schemas.microsoft.com/office/drawing/2014/main" id="{00000000-0008-0000-0100-00007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42" name="Text Box 236">
          <a:extLst>
            <a:ext uri="{FF2B5EF4-FFF2-40B4-BE49-F238E27FC236}">
              <a16:creationId xmlns:a16="http://schemas.microsoft.com/office/drawing/2014/main" id="{00000000-0008-0000-0100-00007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43" name="Text Box 237">
          <a:extLst>
            <a:ext uri="{FF2B5EF4-FFF2-40B4-BE49-F238E27FC236}">
              <a16:creationId xmlns:a16="http://schemas.microsoft.com/office/drawing/2014/main" id="{00000000-0008-0000-0100-00007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44" name="Text Box 238">
          <a:extLst>
            <a:ext uri="{FF2B5EF4-FFF2-40B4-BE49-F238E27FC236}">
              <a16:creationId xmlns:a16="http://schemas.microsoft.com/office/drawing/2014/main" id="{00000000-0008-0000-0100-00007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45" name="Text Box 239">
          <a:extLst>
            <a:ext uri="{FF2B5EF4-FFF2-40B4-BE49-F238E27FC236}">
              <a16:creationId xmlns:a16="http://schemas.microsoft.com/office/drawing/2014/main" id="{00000000-0008-0000-0100-00007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46" name="Text Box 240">
          <a:extLst>
            <a:ext uri="{FF2B5EF4-FFF2-40B4-BE49-F238E27FC236}">
              <a16:creationId xmlns:a16="http://schemas.microsoft.com/office/drawing/2014/main" id="{00000000-0008-0000-0100-00007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47" name="Text Box 241">
          <a:extLst>
            <a:ext uri="{FF2B5EF4-FFF2-40B4-BE49-F238E27FC236}">
              <a16:creationId xmlns:a16="http://schemas.microsoft.com/office/drawing/2014/main" id="{00000000-0008-0000-0100-00007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48" name="Text Box 242">
          <a:extLst>
            <a:ext uri="{FF2B5EF4-FFF2-40B4-BE49-F238E27FC236}">
              <a16:creationId xmlns:a16="http://schemas.microsoft.com/office/drawing/2014/main" id="{00000000-0008-0000-0100-00007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49" name="Text Box 243">
          <a:extLst>
            <a:ext uri="{FF2B5EF4-FFF2-40B4-BE49-F238E27FC236}">
              <a16:creationId xmlns:a16="http://schemas.microsoft.com/office/drawing/2014/main" id="{00000000-0008-0000-0100-00007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50" name="Text Box 244">
          <a:extLst>
            <a:ext uri="{FF2B5EF4-FFF2-40B4-BE49-F238E27FC236}">
              <a16:creationId xmlns:a16="http://schemas.microsoft.com/office/drawing/2014/main" id="{00000000-0008-0000-0100-00007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51" name="Text Box 245">
          <a:extLst>
            <a:ext uri="{FF2B5EF4-FFF2-40B4-BE49-F238E27FC236}">
              <a16:creationId xmlns:a16="http://schemas.microsoft.com/office/drawing/2014/main" id="{00000000-0008-0000-0100-00007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52" name="Text Box 246">
          <a:extLst>
            <a:ext uri="{FF2B5EF4-FFF2-40B4-BE49-F238E27FC236}">
              <a16:creationId xmlns:a16="http://schemas.microsoft.com/office/drawing/2014/main" id="{00000000-0008-0000-0100-00008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53" name="Text Box 247">
          <a:extLst>
            <a:ext uri="{FF2B5EF4-FFF2-40B4-BE49-F238E27FC236}">
              <a16:creationId xmlns:a16="http://schemas.microsoft.com/office/drawing/2014/main" id="{00000000-0008-0000-0100-00008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54" name="Text Box 248">
          <a:extLst>
            <a:ext uri="{FF2B5EF4-FFF2-40B4-BE49-F238E27FC236}">
              <a16:creationId xmlns:a16="http://schemas.microsoft.com/office/drawing/2014/main" id="{00000000-0008-0000-0100-00008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55" name="Text Box 249">
          <a:extLst>
            <a:ext uri="{FF2B5EF4-FFF2-40B4-BE49-F238E27FC236}">
              <a16:creationId xmlns:a16="http://schemas.microsoft.com/office/drawing/2014/main" id="{00000000-0008-0000-0100-00008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56" name="Text Box 250">
          <a:extLst>
            <a:ext uri="{FF2B5EF4-FFF2-40B4-BE49-F238E27FC236}">
              <a16:creationId xmlns:a16="http://schemas.microsoft.com/office/drawing/2014/main" id="{00000000-0008-0000-0100-00008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57" name="Text Box 251">
          <a:extLst>
            <a:ext uri="{FF2B5EF4-FFF2-40B4-BE49-F238E27FC236}">
              <a16:creationId xmlns:a16="http://schemas.microsoft.com/office/drawing/2014/main" id="{00000000-0008-0000-0100-00008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58" name="Text Box 252">
          <a:extLst>
            <a:ext uri="{FF2B5EF4-FFF2-40B4-BE49-F238E27FC236}">
              <a16:creationId xmlns:a16="http://schemas.microsoft.com/office/drawing/2014/main" id="{00000000-0008-0000-0100-00008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59" name="Text Box 253">
          <a:extLst>
            <a:ext uri="{FF2B5EF4-FFF2-40B4-BE49-F238E27FC236}">
              <a16:creationId xmlns:a16="http://schemas.microsoft.com/office/drawing/2014/main" id="{00000000-0008-0000-0100-00008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60" name="Text Box 254">
          <a:extLst>
            <a:ext uri="{FF2B5EF4-FFF2-40B4-BE49-F238E27FC236}">
              <a16:creationId xmlns:a16="http://schemas.microsoft.com/office/drawing/2014/main" id="{00000000-0008-0000-0100-00008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61" name="Text Box 255">
          <a:extLst>
            <a:ext uri="{FF2B5EF4-FFF2-40B4-BE49-F238E27FC236}">
              <a16:creationId xmlns:a16="http://schemas.microsoft.com/office/drawing/2014/main" id="{00000000-0008-0000-0100-00008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62" name="Text Box 256">
          <a:extLst>
            <a:ext uri="{FF2B5EF4-FFF2-40B4-BE49-F238E27FC236}">
              <a16:creationId xmlns:a16="http://schemas.microsoft.com/office/drawing/2014/main" id="{00000000-0008-0000-0100-00008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63" name="Text Box 257">
          <a:extLst>
            <a:ext uri="{FF2B5EF4-FFF2-40B4-BE49-F238E27FC236}">
              <a16:creationId xmlns:a16="http://schemas.microsoft.com/office/drawing/2014/main" id="{00000000-0008-0000-0100-00008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64" name="Text Box 258">
          <a:extLst>
            <a:ext uri="{FF2B5EF4-FFF2-40B4-BE49-F238E27FC236}">
              <a16:creationId xmlns:a16="http://schemas.microsoft.com/office/drawing/2014/main" id="{00000000-0008-0000-0100-00008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65" name="Text Box 259">
          <a:extLst>
            <a:ext uri="{FF2B5EF4-FFF2-40B4-BE49-F238E27FC236}">
              <a16:creationId xmlns:a16="http://schemas.microsoft.com/office/drawing/2014/main" id="{00000000-0008-0000-0100-00008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66" name="Text Box 260">
          <a:extLst>
            <a:ext uri="{FF2B5EF4-FFF2-40B4-BE49-F238E27FC236}">
              <a16:creationId xmlns:a16="http://schemas.microsoft.com/office/drawing/2014/main" id="{00000000-0008-0000-0100-00008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67" name="Text Box 261">
          <a:extLst>
            <a:ext uri="{FF2B5EF4-FFF2-40B4-BE49-F238E27FC236}">
              <a16:creationId xmlns:a16="http://schemas.microsoft.com/office/drawing/2014/main" id="{00000000-0008-0000-0100-00008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68" name="Text Box 262">
          <a:extLst>
            <a:ext uri="{FF2B5EF4-FFF2-40B4-BE49-F238E27FC236}">
              <a16:creationId xmlns:a16="http://schemas.microsoft.com/office/drawing/2014/main" id="{00000000-0008-0000-0100-00009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69" name="Text Box 263">
          <a:extLst>
            <a:ext uri="{FF2B5EF4-FFF2-40B4-BE49-F238E27FC236}">
              <a16:creationId xmlns:a16="http://schemas.microsoft.com/office/drawing/2014/main" id="{00000000-0008-0000-0100-00009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70" name="Text Box 264">
          <a:extLst>
            <a:ext uri="{FF2B5EF4-FFF2-40B4-BE49-F238E27FC236}">
              <a16:creationId xmlns:a16="http://schemas.microsoft.com/office/drawing/2014/main" id="{00000000-0008-0000-0100-00009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71" name="Text Box 265">
          <a:extLst>
            <a:ext uri="{FF2B5EF4-FFF2-40B4-BE49-F238E27FC236}">
              <a16:creationId xmlns:a16="http://schemas.microsoft.com/office/drawing/2014/main" id="{00000000-0008-0000-0100-00009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72" name="Text Box 266">
          <a:extLst>
            <a:ext uri="{FF2B5EF4-FFF2-40B4-BE49-F238E27FC236}">
              <a16:creationId xmlns:a16="http://schemas.microsoft.com/office/drawing/2014/main" id="{00000000-0008-0000-0100-00009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73" name="Text Box 267">
          <a:extLst>
            <a:ext uri="{FF2B5EF4-FFF2-40B4-BE49-F238E27FC236}">
              <a16:creationId xmlns:a16="http://schemas.microsoft.com/office/drawing/2014/main" id="{00000000-0008-0000-0100-00009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74" name="Text Box 268">
          <a:extLst>
            <a:ext uri="{FF2B5EF4-FFF2-40B4-BE49-F238E27FC236}">
              <a16:creationId xmlns:a16="http://schemas.microsoft.com/office/drawing/2014/main" id="{00000000-0008-0000-0100-00009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75" name="Text Box 269">
          <a:extLst>
            <a:ext uri="{FF2B5EF4-FFF2-40B4-BE49-F238E27FC236}">
              <a16:creationId xmlns:a16="http://schemas.microsoft.com/office/drawing/2014/main" id="{00000000-0008-0000-0100-00009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76" name="Text Box 270">
          <a:extLst>
            <a:ext uri="{FF2B5EF4-FFF2-40B4-BE49-F238E27FC236}">
              <a16:creationId xmlns:a16="http://schemas.microsoft.com/office/drawing/2014/main" id="{00000000-0008-0000-0100-00009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77" name="Text Box 271">
          <a:extLst>
            <a:ext uri="{FF2B5EF4-FFF2-40B4-BE49-F238E27FC236}">
              <a16:creationId xmlns:a16="http://schemas.microsoft.com/office/drawing/2014/main" id="{00000000-0008-0000-0100-00009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78" name="Text Box 272">
          <a:extLst>
            <a:ext uri="{FF2B5EF4-FFF2-40B4-BE49-F238E27FC236}">
              <a16:creationId xmlns:a16="http://schemas.microsoft.com/office/drawing/2014/main" id="{00000000-0008-0000-0100-00009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79" name="Text Box 273">
          <a:extLst>
            <a:ext uri="{FF2B5EF4-FFF2-40B4-BE49-F238E27FC236}">
              <a16:creationId xmlns:a16="http://schemas.microsoft.com/office/drawing/2014/main" id="{00000000-0008-0000-0100-00009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80" name="Text Box 274">
          <a:extLst>
            <a:ext uri="{FF2B5EF4-FFF2-40B4-BE49-F238E27FC236}">
              <a16:creationId xmlns:a16="http://schemas.microsoft.com/office/drawing/2014/main" id="{00000000-0008-0000-0100-00009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81" name="Text Box 275">
          <a:extLst>
            <a:ext uri="{FF2B5EF4-FFF2-40B4-BE49-F238E27FC236}">
              <a16:creationId xmlns:a16="http://schemas.microsoft.com/office/drawing/2014/main" id="{00000000-0008-0000-0100-00009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82" name="Text Box 276">
          <a:extLst>
            <a:ext uri="{FF2B5EF4-FFF2-40B4-BE49-F238E27FC236}">
              <a16:creationId xmlns:a16="http://schemas.microsoft.com/office/drawing/2014/main" id="{00000000-0008-0000-0100-00009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83" name="Text Box 277">
          <a:extLst>
            <a:ext uri="{FF2B5EF4-FFF2-40B4-BE49-F238E27FC236}">
              <a16:creationId xmlns:a16="http://schemas.microsoft.com/office/drawing/2014/main" id="{00000000-0008-0000-0100-00009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84" name="Text Box 278">
          <a:extLst>
            <a:ext uri="{FF2B5EF4-FFF2-40B4-BE49-F238E27FC236}">
              <a16:creationId xmlns:a16="http://schemas.microsoft.com/office/drawing/2014/main" id="{00000000-0008-0000-0100-0000A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85" name="Text Box 279">
          <a:extLst>
            <a:ext uri="{FF2B5EF4-FFF2-40B4-BE49-F238E27FC236}">
              <a16:creationId xmlns:a16="http://schemas.microsoft.com/office/drawing/2014/main" id="{00000000-0008-0000-0100-0000A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86" name="Text Box 280">
          <a:extLst>
            <a:ext uri="{FF2B5EF4-FFF2-40B4-BE49-F238E27FC236}">
              <a16:creationId xmlns:a16="http://schemas.microsoft.com/office/drawing/2014/main" id="{00000000-0008-0000-0100-0000A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87" name="Text Box 281">
          <a:extLst>
            <a:ext uri="{FF2B5EF4-FFF2-40B4-BE49-F238E27FC236}">
              <a16:creationId xmlns:a16="http://schemas.microsoft.com/office/drawing/2014/main" id="{00000000-0008-0000-0100-0000A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88" name="Text Box 282">
          <a:extLst>
            <a:ext uri="{FF2B5EF4-FFF2-40B4-BE49-F238E27FC236}">
              <a16:creationId xmlns:a16="http://schemas.microsoft.com/office/drawing/2014/main" id="{00000000-0008-0000-0100-0000A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89" name="Text Box 283">
          <a:extLst>
            <a:ext uri="{FF2B5EF4-FFF2-40B4-BE49-F238E27FC236}">
              <a16:creationId xmlns:a16="http://schemas.microsoft.com/office/drawing/2014/main" id="{00000000-0008-0000-0100-0000A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90" name="Text Box 284">
          <a:extLst>
            <a:ext uri="{FF2B5EF4-FFF2-40B4-BE49-F238E27FC236}">
              <a16:creationId xmlns:a16="http://schemas.microsoft.com/office/drawing/2014/main" id="{00000000-0008-0000-0100-0000A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91" name="Text Box 285">
          <a:extLst>
            <a:ext uri="{FF2B5EF4-FFF2-40B4-BE49-F238E27FC236}">
              <a16:creationId xmlns:a16="http://schemas.microsoft.com/office/drawing/2014/main" id="{00000000-0008-0000-0100-0000A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92" name="Text Box 286">
          <a:extLst>
            <a:ext uri="{FF2B5EF4-FFF2-40B4-BE49-F238E27FC236}">
              <a16:creationId xmlns:a16="http://schemas.microsoft.com/office/drawing/2014/main" id="{00000000-0008-0000-0100-0000A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93" name="Text Box 287">
          <a:extLst>
            <a:ext uri="{FF2B5EF4-FFF2-40B4-BE49-F238E27FC236}">
              <a16:creationId xmlns:a16="http://schemas.microsoft.com/office/drawing/2014/main" id="{00000000-0008-0000-0100-0000A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94" name="Text Box 288">
          <a:extLst>
            <a:ext uri="{FF2B5EF4-FFF2-40B4-BE49-F238E27FC236}">
              <a16:creationId xmlns:a16="http://schemas.microsoft.com/office/drawing/2014/main" id="{00000000-0008-0000-0100-0000A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95" name="Text Box 289">
          <a:extLst>
            <a:ext uri="{FF2B5EF4-FFF2-40B4-BE49-F238E27FC236}">
              <a16:creationId xmlns:a16="http://schemas.microsoft.com/office/drawing/2014/main" id="{00000000-0008-0000-0100-0000A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96" name="Text Box 290">
          <a:extLst>
            <a:ext uri="{FF2B5EF4-FFF2-40B4-BE49-F238E27FC236}">
              <a16:creationId xmlns:a16="http://schemas.microsoft.com/office/drawing/2014/main" id="{00000000-0008-0000-0100-0000A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97" name="Text Box 291">
          <a:extLst>
            <a:ext uri="{FF2B5EF4-FFF2-40B4-BE49-F238E27FC236}">
              <a16:creationId xmlns:a16="http://schemas.microsoft.com/office/drawing/2014/main" id="{00000000-0008-0000-0100-0000A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98" name="Text Box 292">
          <a:extLst>
            <a:ext uri="{FF2B5EF4-FFF2-40B4-BE49-F238E27FC236}">
              <a16:creationId xmlns:a16="http://schemas.microsoft.com/office/drawing/2014/main" id="{00000000-0008-0000-0100-0000A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199" name="Text Box 293">
          <a:extLst>
            <a:ext uri="{FF2B5EF4-FFF2-40B4-BE49-F238E27FC236}">
              <a16:creationId xmlns:a16="http://schemas.microsoft.com/office/drawing/2014/main" id="{00000000-0008-0000-0100-0000A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00" name="Text Box 294">
          <a:extLst>
            <a:ext uri="{FF2B5EF4-FFF2-40B4-BE49-F238E27FC236}">
              <a16:creationId xmlns:a16="http://schemas.microsoft.com/office/drawing/2014/main" id="{00000000-0008-0000-0100-0000B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01" name="Text Box 295">
          <a:extLst>
            <a:ext uri="{FF2B5EF4-FFF2-40B4-BE49-F238E27FC236}">
              <a16:creationId xmlns:a16="http://schemas.microsoft.com/office/drawing/2014/main" id="{00000000-0008-0000-0100-0000B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02" name="Text Box 296">
          <a:extLst>
            <a:ext uri="{FF2B5EF4-FFF2-40B4-BE49-F238E27FC236}">
              <a16:creationId xmlns:a16="http://schemas.microsoft.com/office/drawing/2014/main" id="{00000000-0008-0000-0100-0000B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03" name="Text Box 297">
          <a:extLst>
            <a:ext uri="{FF2B5EF4-FFF2-40B4-BE49-F238E27FC236}">
              <a16:creationId xmlns:a16="http://schemas.microsoft.com/office/drawing/2014/main" id="{00000000-0008-0000-0100-0000B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04" name="Text Box 298">
          <a:extLst>
            <a:ext uri="{FF2B5EF4-FFF2-40B4-BE49-F238E27FC236}">
              <a16:creationId xmlns:a16="http://schemas.microsoft.com/office/drawing/2014/main" id="{00000000-0008-0000-0100-0000B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05" name="Text Box 299">
          <a:extLst>
            <a:ext uri="{FF2B5EF4-FFF2-40B4-BE49-F238E27FC236}">
              <a16:creationId xmlns:a16="http://schemas.microsoft.com/office/drawing/2014/main" id="{00000000-0008-0000-0100-0000B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06" name="Text Box 300">
          <a:extLst>
            <a:ext uri="{FF2B5EF4-FFF2-40B4-BE49-F238E27FC236}">
              <a16:creationId xmlns:a16="http://schemas.microsoft.com/office/drawing/2014/main" id="{00000000-0008-0000-0100-0000B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07" name="Text Box 301">
          <a:extLst>
            <a:ext uri="{FF2B5EF4-FFF2-40B4-BE49-F238E27FC236}">
              <a16:creationId xmlns:a16="http://schemas.microsoft.com/office/drawing/2014/main" id="{00000000-0008-0000-0100-0000B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08" name="Text Box 302">
          <a:extLst>
            <a:ext uri="{FF2B5EF4-FFF2-40B4-BE49-F238E27FC236}">
              <a16:creationId xmlns:a16="http://schemas.microsoft.com/office/drawing/2014/main" id="{00000000-0008-0000-0100-0000B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09" name="Text Box 303">
          <a:extLst>
            <a:ext uri="{FF2B5EF4-FFF2-40B4-BE49-F238E27FC236}">
              <a16:creationId xmlns:a16="http://schemas.microsoft.com/office/drawing/2014/main" id="{00000000-0008-0000-0100-0000B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10" name="Text Box 1">
          <a:extLst>
            <a:ext uri="{FF2B5EF4-FFF2-40B4-BE49-F238E27FC236}">
              <a16:creationId xmlns:a16="http://schemas.microsoft.com/office/drawing/2014/main" id="{00000000-0008-0000-0100-0000B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11" name="Text Box 2">
          <a:extLst>
            <a:ext uri="{FF2B5EF4-FFF2-40B4-BE49-F238E27FC236}">
              <a16:creationId xmlns:a16="http://schemas.microsoft.com/office/drawing/2014/main" id="{00000000-0008-0000-0100-0000B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12" name="Text Box 3">
          <a:extLst>
            <a:ext uri="{FF2B5EF4-FFF2-40B4-BE49-F238E27FC236}">
              <a16:creationId xmlns:a16="http://schemas.microsoft.com/office/drawing/2014/main" id="{00000000-0008-0000-0100-0000B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13" name="Text Box 4">
          <a:extLst>
            <a:ext uri="{FF2B5EF4-FFF2-40B4-BE49-F238E27FC236}">
              <a16:creationId xmlns:a16="http://schemas.microsoft.com/office/drawing/2014/main" id="{00000000-0008-0000-0100-0000B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14" name="Text Box 5">
          <a:extLst>
            <a:ext uri="{FF2B5EF4-FFF2-40B4-BE49-F238E27FC236}">
              <a16:creationId xmlns:a16="http://schemas.microsoft.com/office/drawing/2014/main" id="{00000000-0008-0000-0100-0000B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15" name="Text Box 6">
          <a:extLst>
            <a:ext uri="{FF2B5EF4-FFF2-40B4-BE49-F238E27FC236}">
              <a16:creationId xmlns:a16="http://schemas.microsoft.com/office/drawing/2014/main" id="{00000000-0008-0000-0100-0000B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16" name="Text Box 7">
          <a:extLst>
            <a:ext uri="{FF2B5EF4-FFF2-40B4-BE49-F238E27FC236}">
              <a16:creationId xmlns:a16="http://schemas.microsoft.com/office/drawing/2014/main" id="{00000000-0008-0000-0100-0000C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17" name="Text Box 8">
          <a:extLst>
            <a:ext uri="{FF2B5EF4-FFF2-40B4-BE49-F238E27FC236}">
              <a16:creationId xmlns:a16="http://schemas.microsoft.com/office/drawing/2014/main" id="{00000000-0008-0000-0100-0000C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18" name="Text Box 9">
          <a:extLst>
            <a:ext uri="{FF2B5EF4-FFF2-40B4-BE49-F238E27FC236}">
              <a16:creationId xmlns:a16="http://schemas.microsoft.com/office/drawing/2014/main" id="{00000000-0008-0000-0100-0000C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19" name="Text Box 10">
          <a:extLst>
            <a:ext uri="{FF2B5EF4-FFF2-40B4-BE49-F238E27FC236}">
              <a16:creationId xmlns:a16="http://schemas.microsoft.com/office/drawing/2014/main" id="{00000000-0008-0000-0100-0000C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20" name="Text Box 11">
          <a:extLst>
            <a:ext uri="{FF2B5EF4-FFF2-40B4-BE49-F238E27FC236}">
              <a16:creationId xmlns:a16="http://schemas.microsoft.com/office/drawing/2014/main" id="{00000000-0008-0000-0100-0000C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21" name="Text Box 12">
          <a:extLst>
            <a:ext uri="{FF2B5EF4-FFF2-40B4-BE49-F238E27FC236}">
              <a16:creationId xmlns:a16="http://schemas.microsoft.com/office/drawing/2014/main" id="{00000000-0008-0000-0100-0000C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22" name="Text Box 13">
          <a:extLst>
            <a:ext uri="{FF2B5EF4-FFF2-40B4-BE49-F238E27FC236}">
              <a16:creationId xmlns:a16="http://schemas.microsoft.com/office/drawing/2014/main" id="{00000000-0008-0000-0100-0000C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23" name="Text Box 14">
          <a:extLst>
            <a:ext uri="{FF2B5EF4-FFF2-40B4-BE49-F238E27FC236}">
              <a16:creationId xmlns:a16="http://schemas.microsoft.com/office/drawing/2014/main" id="{00000000-0008-0000-0100-0000C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24" name="Text Box 15">
          <a:extLst>
            <a:ext uri="{FF2B5EF4-FFF2-40B4-BE49-F238E27FC236}">
              <a16:creationId xmlns:a16="http://schemas.microsoft.com/office/drawing/2014/main" id="{00000000-0008-0000-0100-0000C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25" name="Text Box 16">
          <a:extLst>
            <a:ext uri="{FF2B5EF4-FFF2-40B4-BE49-F238E27FC236}">
              <a16:creationId xmlns:a16="http://schemas.microsoft.com/office/drawing/2014/main" id="{00000000-0008-0000-0100-0000C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26" name="Text Box 17">
          <a:extLst>
            <a:ext uri="{FF2B5EF4-FFF2-40B4-BE49-F238E27FC236}">
              <a16:creationId xmlns:a16="http://schemas.microsoft.com/office/drawing/2014/main" id="{00000000-0008-0000-0100-0000C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27" name="Text Box 18">
          <a:extLst>
            <a:ext uri="{FF2B5EF4-FFF2-40B4-BE49-F238E27FC236}">
              <a16:creationId xmlns:a16="http://schemas.microsoft.com/office/drawing/2014/main" id="{00000000-0008-0000-0100-0000C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28" name="Text Box 19">
          <a:extLst>
            <a:ext uri="{FF2B5EF4-FFF2-40B4-BE49-F238E27FC236}">
              <a16:creationId xmlns:a16="http://schemas.microsoft.com/office/drawing/2014/main" id="{00000000-0008-0000-0100-0000C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29" name="Text Box 20">
          <a:extLst>
            <a:ext uri="{FF2B5EF4-FFF2-40B4-BE49-F238E27FC236}">
              <a16:creationId xmlns:a16="http://schemas.microsoft.com/office/drawing/2014/main" id="{00000000-0008-0000-0100-0000C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30" name="Text Box 21">
          <a:extLst>
            <a:ext uri="{FF2B5EF4-FFF2-40B4-BE49-F238E27FC236}">
              <a16:creationId xmlns:a16="http://schemas.microsoft.com/office/drawing/2014/main" id="{00000000-0008-0000-0100-0000C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31" name="Text Box 22">
          <a:extLst>
            <a:ext uri="{FF2B5EF4-FFF2-40B4-BE49-F238E27FC236}">
              <a16:creationId xmlns:a16="http://schemas.microsoft.com/office/drawing/2014/main" id="{00000000-0008-0000-0100-0000C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32" name="Text Box 23">
          <a:extLst>
            <a:ext uri="{FF2B5EF4-FFF2-40B4-BE49-F238E27FC236}">
              <a16:creationId xmlns:a16="http://schemas.microsoft.com/office/drawing/2014/main" id="{00000000-0008-0000-0100-0000D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33" name="Text Box 24">
          <a:extLst>
            <a:ext uri="{FF2B5EF4-FFF2-40B4-BE49-F238E27FC236}">
              <a16:creationId xmlns:a16="http://schemas.microsoft.com/office/drawing/2014/main" id="{00000000-0008-0000-0100-0000D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34" name="Text Box 25">
          <a:extLst>
            <a:ext uri="{FF2B5EF4-FFF2-40B4-BE49-F238E27FC236}">
              <a16:creationId xmlns:a16="http://schemas.microsoft.com/office/drawing/2014/main" id="{00000000-0008-0000-0100-0000D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35" name="Text Box 26">
          <a:extLst>
            <a:ext uri="{FF2B5EF4-FFF2-40B4-BE49-F238E27FC236}">
              <a16:creationId xmlns:a16="http://schemas.microsoft.com/office/drawing/2014/main" id="{00000000-0008-0000-0100-0000D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36" name="Text Box 27">
          <a:extLst>
            <a:ext uri="{FF2B5EF4-FFF2-40B4-BE49-F238E27FC236}">
              <a16:creationId xmlns:a16="http://schemas.microsoft.com/office/drawing/2014/main" id="{00000000-0008-0000-0100-0000D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37" name="Text Box 28">
          <a:extLst>
            <a:ext uri="{FF2B5EF4-FFF2-40B4-BE49-F238E27FC236}">
              <a16:creationId xmlns:a16="http://schemas.microsoft.com/office/drawing/2014/main" id="{00000000-0008-0000-0100-0000D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38" name="Text Box 29">
          <a:extLst>
            <a:ext uri="{FF2B5EF4-FFF2-40B4-BE49-F238E27FC236}">
              <a16:creationId xmlns:a16="http://schemas.microsoft.com/office/drawing/2014/main" id="{00000000-0008-0000-0100-0000D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39" name="Text Box 30">
          <a:extLst>
            <a:ext uri="{FF2B5EF4-FFF2-40B4-BE49-F238E27FC236}">
              <a16:creationId xmlns:a16="http://schemas.microsoft.com/office/drawing/2014/main" id="{00000000-0008-0000-0100-0000D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40" name="Text Box 31">
          <a:extLst>
            <a:ext uri="{FF2B5EF4-FFF2-40B4-BE49-F238E27FC236}">
              <a16:creationId xmlns:a16="http://schemas.microsoft.com/office/drawing/2014/main" id="{00000000-0008-0000-0100-0000D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41" name="Text Box 32">
          <a:extLst>
            <a:ext uri="{FF2B5EF4-FFF2-40B4-BE49-F238E27FC236}">
              <a16:creationId xmlns:a16="http://schemas.microsoft.com/office/drawing/2014/main" id="{00000000-0008-0000-0100-0000D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42" name="Text Box 33">
          <a:extLst>
            <a:ext uri="{FF2B5EF4-FFF2-40B4-BE49-F238E27FC236}">
              <a16:creationId xmlns:a16="http://schemas.microsoft.com/office/drawing/2014/main" id="{00000000-0008-0000-0100-0000D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43" name="Text Box 34">
          <a:extLst>
            <a:ext uri="{FF2B5EF4-FFF2-40B4-BE49-F238E27FC236}">
              <a16:creationId xmlns:a16="http://schemas.microsoft.com/office/drawing/2014/main" id="{00000000-0008-0000-0100-0000D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44" name="Text Box 35">
          <a:extLst>
            <a:ext uri="{FF2B5EF4-FFF2-40B4-BE49-F238E27FC236}">
              <a16:creationId xmlns:a16="http://schemas.microsoft.com/office/drawing/2014/main" id="{00000000-0008-0000-0100-0000D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45" name="Text Box 36">
          <a:extLst>
            <a:ext uri="{FF2B5EF4-FFF2-40B4-BE49-F238E27FC236}">
              <a16:creationId xmlns:a16="http://schemas.microsoft.com/office/drawing/2014/main" id="{00000000-0008-0000-0100-0000D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46" name="Text Box 37">
          <a:extLst>
            <a:ext uri="{FF2B5EF4-FFF2-40B4-BE49-F238E27FC236}">
              <a16:creationId xmlns:a16="http://schemas.microsoft.com/office/drawing/2014/main" id="{00000000-0008-0000-0100-0000D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47" name="Text Box 38">
          <a:extLst>
            <a:ext uri="{FF2B5EF4-FFF2-40B4-BE49-F238E27FC236}">
              <a16:creationId xmlns:a16="http://schemas.microsoft.com/office/drawing/2014/main" id="{00000000-0008-0000-0100-0000D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48" name="Text Box 39">
          <a:extLst>
            <a:ext uri="{FF2B5EF4-FFF2-40B4-BE49-F238E27FC236}">
              <a16:creationId xmlns:a16="http://schemas.microsoft.com/office/drawing/2014/main" id="{00000000-0008-0000-0100-0000E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49" name="Text Box 40">
          <a:extLst>
            <a:ext uri="{FF2B5EF4-FFF2-40B4-BE49-F238E27FC236}">
              <a16:creationId xmlns:a16="http://schemas.microsoft.com/office/drawing/2014/main" id="{00000000-0008-0000-0100-0000E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50" name="Text Box 41">
          <a:extLst>
            <a:ext uri="{FF2B5EF4-FFF2-40B4-BE49-F238E27FC236}">
              <a16:creationId xmlns:a16="http://schemas.microsoft.com/office/drawing/2014/main" id="{00000000-0008-0000-0100-0000E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51" name="Text Box 42">
          <a:extLst>
            <a:ext uri="{FF2B5EF4-FFF2-40B4-BE49-F238E27FC236}">
              <a16:creationId xmlns:a16="http://schemas.microsoft.com/office/drawing/2014/main" id="{00000000-0008-0000-0100-0000E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52" name="Text Box 43">
          <a:extLst>
            <a:ext uri="{FF2B5EF4-FFF2-40B4-BE49-F238E27FC236}">
              <a16:creationId xmlns:a16="http://schemas.microsoft.com/office/drawing/2014/main" id="{00000000-0008-0000-0100-0000E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53" name="Text Box 44">
          <a:extLst>
            <a:ext uri="{FF2B5EF4-FFF2-40B4-BE49-F238E27FC236}">
              <a16:creationId xmlns:a16="http://schemas.microsoft.com/office/drawing/2014/main" id="{00000000-0008-0000-0100-0000E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54" name="Text Box 45">
          <a:extLst>
            <a:ext uri="{FF2B5EF4-FFF2-40B4-BE49-F238E27FC236}">
              <a16:creationId xmlns:a16="http://schemas.microsoft.com/office/drawing/2014/main" id="{00000000-0008-0000-0100-0000E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55" name="Text Box 46">
          <a:extLst>
            <a:ext uri="{FF2B5EF4-FFF2-40B4-BE49-F238E27FC236}">
              <a16:creationId xmlns:a16="http://schemas.microsoft.com/office/drawing/2014/main" id="{00000000-0008-0000-0100-0000E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56" name="Text Box 47">
          <a:extLst>
            <a:ext uri="{FF2B5EF4-FFF2-40B4-BE49-F238E27FC236}">
              <a16:creationId xmlns:a16="http://schemas.microsoft.com/office/drawing/2014/main" id="{00000000-0008-0000-0100-0000E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57" name="Text Box 48">
          <a:extLst>
            <a:ext uri="{FF2B5EF4-FFF2-40B4-BE49-F238E27FC236}">
              <a16:creationId xmlns:a16="http://schemas.microsoft.com/office/drawing/2014/main" id="{00000000-0008-0000-0100-0000E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58" name="Text Box 49">
          <a:extLst>
            <a:ext uri="{FF2B5EF4-FFF2-40B4-BE49-F238E27FC236}">
              <a16:creationId xmlns:a16="http://schemas.microsoft.com/office/drawing/2014/main" id="{00000000-0008-0000-0100-0000E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59" name="Text Box 50">
          <a:extLst>
            <a:ext uri="{FF2B5EF4-FFF2-40B4-BE49-F238E27FC236}">
              <a16:creationId xmlns:a16="http://schemas.microsoft.com/office/drawing/2014/main" id="{00000000-0008-0000-0100-0000E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60" name="Text Box 51">
          <a:extLst>
            <a:ext uri="{FF2B5EF4-FFF2-40B4-BE49-F238E27FC236}">
              <a16:creationId xmlns:a16="http://schemas.microsoft.com/office/drawing/2014/main" id="{00000000-0008-0000-0100-0000E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61" name="Text Box 52">
          <a:extLst>
            <a:ext uri="{FF2B5EF4-FFF2-40B4-BE49-F238E27FC236}">
              <a16:creationId xmlns:a16="http://schemas.microsoft.com/office/drawing/2014/main" id="{00000000-0008-0000-0100-0000E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62" name="Text Box 53">
          <a:extLst>
            <a:ext uri="{FF2B5EF4-FFF2-40B4-BE49-F238E27FC236}">
              <a16:creationId xmlns:a16="http://schemas.microsoft.com/office/drawing/2014/main" id="{00000000-0008-0000-0100-0000E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63" name="Text Box 54">
          <a:extLst>
            <a:ext uri="{FF2B5EF4-FFF2-40B4-BE49-F238E27FC236}">
              <a16:creationId xmlns:a16="http://schemas.microsoft.com/office/drawing/2014/main" id="{00000000-0008-0000-0100-0000E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64" name="Text Box 55">
          <a:extLst>
            <a:ext uri="{FF2B5EF4-FFF2-40B4-BE49-F238E27FC236}">
              <a16:creationId xmlns:a16="http://schemas.microsoft.com/office/drawing/2014/main" id="{00000000-0008-0000-0100-0000F0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65" name="Text Box 56">
          <a:extLst>
            <a:ext uri="{FF2B5EF4-FFF2-40B4-BE49-F238E27FC236}">
              <a16:creationId xmlns:a16="http://schemas.microsoft.com/office/drawing/2014/main" id="{00000000-0008-0000-0100-0000F1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66" name="Text Box 57">
          <a:extLst>
            <a:ext uri="{FF2B5EF4-FFF2-40B4-BE49-F238E27FC236}">
              <a16:creationId xmlns:a16="http://schemas.microsoft.com/office/drawing/2014/main" id="{00000000-0008-0000-0100-0000F2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67" name="Text Box 58">
          <a:extLst>
            <a:ext uri="{FF2B5EF4-FFF2-40B4-BE49-F238E27FC236}">
              <a16:creationId xmlns:a16="http://schemas.microsoft.com/office/drawing/2014/main" id="{00000000-0008-0000-0100-0000F3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68" name="Text Box 59">
          <a:extLst>
            <a:ext uri="{FF2B5EF4-FFF2-40B4-BE49-F238E27FC236}">
              <a16:creationId xmlns:a16="http://schemas.microsoft.com/office/drawing/2014/main" id="{00000000-0008-0000-0100-0000F4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69" name="Text Box 60">
          <a:extLst>
            <a:ext uri="{FF2B5EF4-FFF2-40B4-BE49-F238E27FC236}">
              <a16:creationId xmlns:a16="http://schemas.microsoft.com/office/drawing/2014/main" id="{00000000-0008-0000-0100-0000F5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70" name="Text Box 61">
          <a:extLst>
            <a:ext uri="{FF2B5EF4-FFF2-40B4-BE49-F238E27FC236}">
              <a16:creationId xmlns:a16="http://schemas.microsoft.com/office/drawing/2014/main" id="{00000000-0008-0000-0100-0000F6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71" name="Text Box 62">
          <a:extLst>
            <a:ext uri="{FF2B5EF4-FFF2-40B4-BE49-F238E27FC236}">
              <a16:creationId xmlns:a16="http://schemas.microsoft.com/office/drawing/2014/main" id="{00000000-0008-0000-0100-0000F7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72" name="Text Box 63">
          <a:extLst>
            <a:ext uri="{FF2B5EF4-FFF2-40B4-BE49-F238E27FC236}">
              <a16:creationId xmlns:a16="http://schemas.microsoft.com/office/drawing/2014/main" id="{00000000-0008-0000-0100-0000F8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73" name="Text Box 64">
          <a:extLst>
            <a:ext uri="{FF2B5EF4-FFF2-40B4-BE49-F238E27FC236}">
              <a16:creationId xmlns:a16="http://schemas.microsoft.com/office/drawing/2014/main" id="{00000000-0008-0000-0100-0000F9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74" name="Text Box 65">
          <a:extLst>
            <a:ext uri="{FF2B5EF4-FFF2-40B4-BE49-F238E27FC236}">
              <a16:creationId xmlns:a16="http://schemas.microsoft.com/office/drawing/2014/main" id="{00000000-0008-0000-0100-0000FA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75" name="Text Box 66">
          <a:extLst>
            <a:ext uri="{FF2B5EF4-FFF2-40B4-BE49-F238E27FC236}">
              <a16:creationId xmlns:a16="http://schemas.microsoft.com/office/drawing/2014/main" id="{00000000-0008-0000-0100-0000FB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76" name="Text Box 67">
          <a:extLst>
            <a:ext uri="{FF2B5EF4-FFF2-40B4-BE49-F238E27FC236}">
              <a16:creationId xmlns:a16="http://schemas.microsoft.com/office/drawing/2014/main" id="{00000000-0008-0000-0100-0000FC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77" name="Text Box 68">
          <a:extLst>
            <a:ext uri="{FF2B5EF4-FFF2-40B4-BE49-F238E27FC236}">
              <a16:creationId xmlns:a16="http://schemas.microsoft.com/office/drawing/2014/main" id="{00000000-0008-0000-0100-0000FD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78" name="Text Box 69">
          <a:extLst>
            <a:ext uri="{FF2B5EF4-FFF2-40B4-BE49-F238E27FC236}">
              <a16:creationId xmlns:a16="http://schemas.microsoft.com/office/drawing/2014/main" id="{00000000-0008-0000-0100-0000FE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79" name="Text Box 70">
          <a:extLst>
            <a:ext uri="{FF2B5EF4-FFF2-40B4-BE49-F238E27FC236}">
              <a16:creationId xmlns:a16="http://schemas.microsoft.com/office/drawing/2014/main" id="{00000000-0008-0000-0100-0000FF04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80" name="Text Box 71">
          <a:extLst>
            <a:ext uri="{FF2B5EF4-FFF2-40B4-BE49-F238E27FC236}">
              <a16:creationId xmlns:a16="http://schemas.microsoft.com/office/drawing/2014/main" id="{00000000-0008-0000-0100-00000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81" name="Text Box 72">
          <a:extLst>
            <a:ext uri="{FF2B5EF4-FFF2-40B4-BE49-F238E27FC236}">
              <a16:creationId xmlns:a16="http://schemas.microsoft.com/office/drawing/2014/main" id="{00000000-0008-0000-0100-00000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82" name="Text Box 73">
          <a:extLst>
            <a:ext uri="{FF2B5EF4-FFF2-40B4-BE49-F238E27FC236}">
              <a16:creationId xmlns:a16="http://schemas.microsoft.com/office/drawing/2014/main" id="{00000000-0008-0000-0100-00000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83" name="Text Box 74">
          <a:extLst>
            <a:ext uri="{FF2B5EF4-FFF2-40B4-BE49-F238E27FC236}">
              <a16:creationId xmlns:a16="http://schemas.microsoft.com/office/drawing/2014/main" id="{00000000-0008-0000-0100-00000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84" name="Text Box 75">
          <a:extLst>
            <a:ext uri="{FF2B5EF4-FFF2-40B4-BE49-F238E27FC236}">
              <a16:creationId xmlns:a16="http://schemas.microsoft.com/office/drawing/2014/main" id="{00000000-0008-0000-0100-00000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85" name="Text Box 76">
          <a:extLst>
            <a:ext uri="{FF2B5EF4-FFF2-40B4-BE49-F238E27FC236}">
              <a16:creationId xmlns:a16="http://schemas.microsoft.com/office/drawing/2014/main" id="{00000000-0008-0000-0100-00000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86" name="Text Box 77">
          <a:extLst>
            <a:ext uri="{FF2B5EF4-FFF2-40B4-BE49-F238E27FC236}">
              <a16:creationId xmlns:a16="http://schemas.microsoft.com/office/drawing/2014/main" id="{00000000-0008-0000-0100-00000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87" name="Text Box 78">
          <a:extLst>
            <a:ext uri="{FF2B5EF4-FFF2-40B4-BE49-F238E27FC236}">
              <a16:creationId xmlns:a16="http://schemas.microsoft.com/office/drawing/2014/main" id="{00000000-0008-0000-0100-00000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88" name="Text Box 79">
          <a:extLst>
            <a:ext uri="{FF2B5EF4-FFF2-40B4-BE49-F238E27FC236}">
              <a16:creationId xmlns:a16="http://schemas.microsoft.com/office/drawing/2014/main" id="{00000000-0008-0000-0100-00000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89" name="Text Box 80">
          <a:extLst>
            <a:ext uri="{FF2B5EF4-FFF2-40B4-BE49-F238E27FC236}">
              <a16:creationId xmlns:a16="http://schemas.microsoft.com/office/drawing/2014/main" id="{00000000-0008-0000-0100-00000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90" name="Text Box 81">
          <a:extLst>
            <a:ext uri="{FF2B5EF4-FFF2-40B4-BE49-F238E27FC236}">
              <a16:creationId xmlns:a16="http://schemas.microsoft.com/office/drawing/2014/main" id="{00000000-0008-0000-0100-00000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91" name="Text Box 82">
          <a:extLst>
            <a:ext uri="{FF2B5EF4-FFF2-40B4-BE49-F238E27FC236}">
              <a16:creationId xmlns:a16="http://schemas.microsoft.com/office/drawing/2014/main" id="{00000000-0008-0000-0100-00000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92" name="Text Box 83">
          <a:extLst>
            <a:ext uri="{FF2B5EF4-FFF2-40B4-BE49-F238E27FC236}">
              <a16:creationId xmlns:a16="http://schemas.microsoft.com/office/drawing/2014/main" id="{00000000-0008-0000-0100-00000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93" name="Text Box 84">
          <a:extLst>
            <a:ext uri="{FF2B5EF4-FFF2-40B4-BE49-F238E27FC236}">
              <a16:creationId xmlns:a16="http://schemas.microsoft.com/office/drawing/2014/main" id="{00000000-0008-0000-0100-00000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94" name="Text Box 85">
          <a:extLst>
            <a:ext uri="{FF2B5EF4-FFF2-40B4-BE49-F238E27FC236}">
              <a16:creationId xmlns:a16="http://schemas.microsoft.com/office/drawing/2014/main" id="{00000000-0008-0000-0100-00000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95" name="Text Box 86">
          <a:extLst>
            <a:ext uri="{FF2B5EF4-FFF2-40B4-BE49-F238E27FC236}">
              <a16:creationId xmlns:a16="http://schemas.microsoft.com/office/drawing/2014/main" id="{00000000-0008-0000-0100-00000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96" name="Text Box 87">
          <a:extLst>
            <a:ext uri="{FF2B5EF4-FFF2-40B4-BE49-F238E27FC236}">
              <a16:creationId xmlns:a16="http://schemas.microsoft.com/office/drawing/2014/main" id="{00000000-0008-0000-0100-00001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97" name="Text Box 88">
          <a:extLst>
            <a:ext uri="{FF2B5EF4-FFF2-40B4-BE49-F238E27FC236}">
              <a16:creationId xmlns:a16="http://schemas.microsoft.com/office/drawing/2014/main" id="{00000000-0008-0000-0100-00001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98" name="Text Box 89">
          <a:extLst>
            <a:ext uri="{FF2B5EF4-FFF2-40B4-BE49-F238E27FC236}">
              <a16:creationId xmlns:a16="http://schemas.microsoft.com/office/drawing/2014/main" id="{00000000-0008-0000-0100-00001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299" name="Text Box 90">
          <a:extLst>
            <a:ext uri="{FF2B5EF4-FFF2-40B4-BE49-F238E27FC236}">
              <a16:creationId xmlns:a16="http://schemas.microsoft.com/office/drawing/2014/main" id="{00000000-0008-0000-0100-00001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00" name="Text Box 91">
          <a:extLst>
            <a:ext uri="{FF2B5EF4-FFF2-40B4-BE49-F238E27FC236}">
              <a16:creationId xmlns:a16="http://schemas.microsoft.com/office/drawing/2014/main" id="{00000000-0008-0000-0100-00001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01" name="Text Box 92">
          <a:extLst>
            <a:ext uri="{FF2B5EF4-FFF2-40B4-BE49-F238E27FC236}">
              <a16:creationId xmlns:a16="http://schemas.microsoft.com/office/drawing/2014/main" id="{00000000-0008-0000-0100-00001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02" name="Text Box 93">
          <a:extLst>
            <a:ext uri="{FF2B5EF4-FFF2-40B4-BE49-F238E27FC236}">
              <a16:creationId xmlns:a16="http://schemas.microsoft.com/office/drawing/2014/main" id="{00000000-0008-0000-0100-00001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03" name="Text Box 94">
          <a:extLst>
            <a:ext uri="{FF2B5EF4-FFF2-40B4-BE49-F238E27FC236}">
              <a16:creationId xmlns:a16="http://schemas.microsoft.com/office/drawing/2014/main" id="{00000000-0008-0000-0100-00001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04" name="Text Box 95">
          <a:extLst>
            <a:ext uri="{FF2B5EF4-FFF2-40B4-BE49-F238E27FC236}">
              <a16:creationId xmlns:a16="http://schemas.microsoft.com/office/drawing/2014/main" id="{00000000-0008-0000-0100-00001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05" name="Text Box 96">
          <a:extLst>
            <a:ext uri="{FF2B5EF4-FFF2-40B4-BE49-F238E27FC236}">
              <a16:creationId xmlns:a16="http://schemas.microsoft.com/office/drawing/2014/main" id="{00000000-0008-0000-0100-00001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06" name="Text Box 97">
          <a:extLst>
            <a:ext uri="{FF2B5EF4-FFF2-40B4-BE49-F238E27FC236}">
              <a16:creationId xmlns:a16="http://schemas.microsoft.com/office/drawing/2014/main" id="{00000000-0008-0000-0100-00001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07" name="Text Box 98">
          <a:extLst>
            <a:ext uri="{FF2B5EF4-FFF2-40B4-BE49-F238E27FC236}">
              <a16:creationId xmlns:a16="http://schemas.microsoft.com/office/drawing/2014/main" id="{00000000-0008-0000-0100-00001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08" name="Text Box 99">
          <a:extLst>
            <a:ext uri="{FF2B5EF4-FFF2-40B4-BE49-F238E27FC236}">
              <a16:creationId xmlns:a16="http://schemas.microsoft.com/office/drawing/2014/main" id="{00000000-0008-0000-0100-00001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09" name="Text Box 100">
          <a:extLst>
            <a:ext uri="{FF2B5EF4-FFF2-40B4-BE49-F238E27FC236}">
              <a16:creationId xmlns:a16="http://schemas.microsoft.com/office/drawing/2014/main" id="{00000000-0008-0000-0100-00001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10" name="Text Box 101">
          <a:extLst>
            <a:ext uri="{FF2B5EF4-FFF2-40B4-BE49-F238E27FC236}">
              <a16:creationId xmlns:a16="http://schemas.microsoft.com/office/drawing/2014/main" id="{00000000-0008-0000-0100-00001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11" name="Text Box 102">
          <a:extLst>
            <a:ext uri="{FF2B5EF4-FFF2-40B4-BE49-F238E27FC236}">
              <a16:creationId xmlns:a16="http://schemas.microsoft.com/office/drawing/2014/main" id="{00000000-0008-0000-0100-00001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12" name="Text Box 103">
          <a:extLst>
            <a:ext uri="{FF2B5EF4-FFF2-40B4-BE49-F238E27FC236}">
              <a16:creationId xmlns:a16="http://schemas.microsoft.com/office/drawing/2014/main" id="{00000000-0008-0000-0100-00002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13" name="Text Box 104">
          <a:extLst>
            <a:ext uri="{FF2B5EF4-FFF2-40B4-BE49-F238E27FC236}">
              <a16:creationId xmlns:a16="http://schemas.microsoft.com/office/drawing/2014/main" id="{00000000-0008-0000-0100-00002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14" name="Text Box 105">
          <a:extLst>
            <a:ext uri="{FF2B5EF4-FFF2-40B4-BE49-F238E27FC236}">
              <a16:creationId xmlns:a16="http://schemas.microsoft.com/office/drawing/2014/main" id="{00000000-0008-0000-0100-00002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15" name="Text Box 106">
          <a:extLst>
            <a:ext uri="{FF2B5EF4-FFF2-40B4-BE49-F238E27FC236}">
              <a16:creationId xmlns:a16="http://schemas.microsoft.com/office/drawing/2014/main" id="{00000000-0008-0000-0100-00002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16" name="Text Box 107">
          <a:extLst>
            <a:ext uri="{FF2B5EF4-FFF2-40B4-BE49-F238E27FC236}">
              <a16:creationId xmlns:a16="http://schemas.microsoft.com/office/drawing/2014/main" id="{00000000-0008-0000-0100-00002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17" name="Text Box 108">
          <a:extLst>
            <a:ext uri="{FF2B5EF4-FFF2-40B4-BE49-F238E27FC236}">
              <a16:creationId xmlns:a16="http://schemas.microsoft.com/office/drawing/2014/main" id="{00000000-0008-0000-0100-00002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18" name="Text Box 109">
          <a:extLst>
            <a:ext uri="{FF2B5EF4-FFF2-40B4-BE49-F238E27FC236}">
              <a16:creationId xmlns:a16="http://schemas.microsoft.com/office/drawing/2014/main" id="{00000000-0008-0000-0100-00002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19" name="Text Box 110">
          <a:extLst>
            <a:ext uri="{FF2B5EF4-FFF2-40B4-BE49-F238E27FC236}">
              <a16:creationId xmlns:a16="http://schemas.microsoft.com/office/drawing/2014/main" id="{00000000-0008-0000-0100-00002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20" name="Text Box 111">
          <a:extLst>
            <a:ext uri="{FF2B5EF4-FFF2-40B4-BE49-F238E27FC236}">
              <a16:creationId xmlns:a16="http://schemas.microsoft.com/office/drawing/2014/main" id="{00000000-0008-0000-0100-00002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21" name="Text Box 112">
          <a:extLst>
            <a:ext uri="{FF2B5EF4-FFF2-40B4-BE49-F238E27FC236}">
              <a16:creationId xmlns:a16="http://schemas.microsoft.com/office/drawing/2014/main" id="{00000000-0008-0000-0100-00002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22" name="Text Box 113">
          <a:extLst>
            <a:ext uri="{FF2B5EF4-FFF2-40B4-BE49-F238E27FC236}">
              <a16:creationId xmlns:a16="http://schemas.microsoft.com/office/drawing/2014/main" id="{00000000-0008-0000-0100-00002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23" name="Text Box 114">
          <a:extLst>
            <a:ext uri="{FF2B5EF4-FFF2-40B4-BE49-F238E27FC236}">
              <a16:creationId xmlns:a16="http://schemas.microsoft.com/office/drawing/2014/main" id="{00000000-0008-0000-0100-00002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24" name="Text Box 115">
          <a:extLst>
            <a:ext uri="{FF2B5EF4-FFF2-40B4-BE49-F238E27FC236}">
              <a16:creationId xmlns:a16="http://schemas.microsoft.com/office/drawing/2014/main" id="{00000000-0008-0000-0100-00002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25" name="Text Box 116">
          <a:extLst>
            <a:ext uri="{FF2B5EF4-FFF2-40B4-BE49-F238E27FC236}">
              <a16:creationId xmlns:a16="http://schemas.microsoft.com/office/drawing/2014/main" id="{00000000-0008-0000-0100-00002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26" name="Text Box 117">
          <a:extLst>
            <a:ext uri="{FF2B5EF4-FFF2-40B4-BE49-F238E27FC236}">
              <a16:creationId xmlns:a16="http://schemas.microsoft.com/office/drawing/2014/main" id="{00000000-0008-0000-0100-00002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27" name="Text Box 118">
          <a:extLst>
            <a:ext uri="{FF2B5EF4-FFF2-40B4-BE49-F238E27FC236}">
              <a16:creationId xmlns:a16="http://schemas.microsoft.com/office/drawing/2014/main" id="{00000000-0008-0000-0100-00002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28" name="Text Box 119">
          <a:extLst>
            <a:ext uri="{FF2B5EF4-FFF2-40B4-BE49-F238E27FC236}">
              <a16:creationId xmlns:a16="http://schemas.microsoft.com/office/drawing/2014/main" id="{00000000-0008-0000-0100-00003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29" name="Text Box 120">
          <a:extLst>
            <a:ext uri="{FF2B5EF4-FFF2-40B4-BE49-F238E27FC236}">
              <a16:creationId xmlns:a16="http://schemas.microsoft.com/office/drawing/2014/main" id="{00000000-0008-0000-0100-00003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30" name="Text Box 121">
          <a:extLst>
            <a:ext uri="{FF2B5EF4-FFF2-40B4-BE49-F238E27FC236}">
              <a16:creationId xmlns:a16="http://schemas.microsoft.com/office/drawing/2014/main" id="{00000000-0008-0000-0100-00003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31" name="Text Box 122">
          <a:extLst>
            <a:ext uri="{FF2B5EF4-FFF2-40B4-BE49-F238E27FC236}">
              <a16:creationId xmlns:a16="http://schemas.microsoft.com/office/drawing/2014/main" id="{00000000-0008-0000-0100-00003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32" name="Text Box 123">
          <a:extLst>
            <a:ext uri="{FF2B5EF4-FFF2-40B4-BE49-F238E27FC236}">
              <a16:creationId xmlns:a16="http://schemas.microsoft.com/office/drawing/2014/main" id="{00000000-0008-0000-0100-00003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33" name="Text Box 124">
          <a:extLst>
            <a:ext uri="{FF2B5EF4-FFF2-40B4-BE49-F238E27FC236}">
              <a16:creationId xmlns:a16="http://schemas.microsoft.com/office/drawing/2014/main" id="{00000000-0008-0000-0100-00003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34" name="Text Box 125">
          <a:extLst>
            <a:ext uri="{FF2B5EF4-FFF2-40B4-BE49-F238E27FC236}">
              <a16:creationId xmlns:a16="http://schemas.microsoft.com/office/drawing/2014/main" id="{00000000-0008-0000-0100-00003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35" name="Text Box 126">
          <a:extLst>
            <a:ext uri="{FF2B5EF4-FFF2-40B4-BE49-F238E27FC236}">
              <a16:creationId xmlns:a16="http://schemas.microsoft.com/office/drawing/2014/main" id="{00000000-0008-0000-0100-00003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36" name="Text Box 127">
          <a:extLst>
            <a:ext uri="{FF2B5EF4-FFF2-40B4-BE49-F238E27FC236}">
              <a16:creationId xmlns:a16="http://schemas.microsoft.com/office/drawing/2014/main" id="{00000000-0008-0000-0100-00003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37" name="Text Box 128">
          <a:extLst>
            <a:ext uri="{FF2B5EF4-FFF2-40B4-BE49-F238E27FC236}">
              <a16:creationId xmlns:a16="http://schemas.microsoft.com/office/drawing/2014/main" id="{00000000-0008-0000-0100-00003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38" name="Text Box 129">
          <a:extLst>
            <a:ext uri="{FF2B5EF4-FFF2-40B4-BE49-F238E27FC236}">
              <a16:creationId xmlns:a16="http://schemas.microsoft.com/office/drawing/2014/main" id="{00000000-0008-0000-0100-00003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39" name="Text Box 130">
          <a:extLst>
            <a:ext uri="{FF2B5EF4-FFF2-40B4-BE49-F238E27FC236}">
              <a16:creationId xmlns:a16="http://schemas.microsoft.com/office/drawing/2014/main" id="{00000000-0008-0000-0100-00003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40" name="Text Box 131">
          <a:extLst>
            <a:ext uri="{FF2B5EF4-FFF2-40B4-BE49-F238E27FC236}">
              <a16:creationId xmlns:a16="http://schemas.microsoft.com/office/drawing/2014/main" id="{00000000-0008-0000-0100-00003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41" name="Text Box 132">
          <a:extLst>
            <a:ext uri="{FF2B5EF4-FFF2-40B4-BE49-F238E27FC236}">
              <a16:creationId xmlns:a16="http://schemas.microsoft.com/office/drawing/2014/main" id="{00000000-0008-0000-0100-00003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42" name="Text Box 133">
          <a:extLst>
            <a:ext uri="{FF2B5EF4-FFF2-40B4-BE49-F238E27FC236}">
              <a16:creationId xmlns:a16="http://schemas.microsoft.com/office/drawing/2014/main" id="{00000000-0008-0000-0100-00003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43" name="Text Box 134">
          <a:extLst>
            <a:ext uri="{FF2B5EF4-FFF2-40B4-BE49-F238E27FC236}">
              <a16:creationId xmlns:a16="http://schemas.microsoft.com/office/drawing/2014/main" id="{00000000-0008-0000-0100-00003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44" name="Text Box 135">
          <a:extLst>
            <a:ext uri="{FF2B5EF4-FFF2-40B4-BE49-F238E27FC236}">
              <a16:creationId xmlns:a16="http://schemas.microsoft.com/office/drawing/2014/main" id="{00000000-0008-0000-0100-00004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45" name="Text Box 136">
          <a:extLst>
            <a:ext uri="{FF2B5EF4-FFF2-40B4-BE49-F238E27FC236}">
              <a16:creationId xmlns:a16="http://schemas.microsoft.com/office/drawing/2014/main" id="{00000000-0008-0000-0100-00004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46" name="Text Box 137">
          <a:extLst>
            <a:ext uri="{FF2B5EF4-FFF2-40B4-BE49-F238E27FC236}">
              <a16:creationId xmlns:a16="http://schemas.microsoft.com/office/drawing/2014/main" id="{00000000-0008-0000-0100-00004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47" name="Text Box 138">
          <a:extLst>
            <a:ext uri="{FF2B5EF4-FFF2-40B4-BE49-F238E27FC236}">
              <a16:creationId xmlns:a16="http://schemas.microsoft.com/office/drawing/2014/main" id="{00000000-0008-0000-0100-00004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48" name="Text Box 139">
          <a:extLst>
            <a:ext uri="{FF2B5EF4-FFF2-40B4-BE49-F238E27FC236}">
              <a16:creationId xmlns:a16="http://schemas.microsoft.com/office/drawing/2014/main" id="{00000000-0008-0000-0100-00004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49" name="Text Box 140">
          <a:extLst>
            <a:ext uri="{FF2B5EF4-FFF2-40B4-BE49-F238E27FC236}">
              <a16:creationId xmlns:a16="http://schemas.microsoft.com/office/drawing/2014/main" id="{00000000-0008-0000-0100-00004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50" name="Text Box 141">
          <a:extLst>
            <a:ext uri="{FF2B5EF4-FFF2-40B4-BE49-F238E27FC236}">
              <a16:creationId xmlns:a16="http://schemas.microsoft.com/office/drawing/2014/main" id="{00000000-0008-0000-0100-00004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51" name="Text Box 142">
          <a:extLst>
            <a:ext uri="{FF2B5EF4-FFF2-40B4-BE49-F238E27FC236}">
              <a16:creationId xmlns:a16="http://schemas.microsoft.com/office/drawing/2014/main" id="{00000000-0008-0000-0100-00004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52" name="Text Box 143">
          <a:extLst>
            <a:ext uri="{FF2B5EF4-FFF2-40B4-BE49-F238E27FC236}">
              <a16:creationId xmlns:a16="http://schemas.microsoft.com/office/drawing/2014/main" id="{00000000-0008-0000-0100-00004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53" name="Text Box 144">
          <a:extLst>
            <a:ext uri="{FF2B5EF4-FFF2-40B4-BE49-F238E27FC236}">
              <a16:creationId xmlns:a16="http://schemas.microsoft.com/office/drawing/2014/main" id="{00000000-0008-0000-0100-00004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54" name="Text Box 146">
          <a:extLst>
            <a:ext uri="{FF2B5EF4-FFF2-40B4-BE49-F238E27FC236}">
              <a16:creationId xmlns:a16="http://schemas.microsoft.com/office/drawing/2014/main" id="{00000000-0008-0000-0100-00004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55" name="Text Box 147">
          <a:extLst>
            <a:ext uri="{FF2B5EF4-FFF2-40B4-BE49-F238E27FC236}">
              <a16:creationId xmlns:a16="http://schemas.microsoft.com/office/drawing/2014/main" id="{00000000-0008-0000-0100-00004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56" name="Text Box 148">
          <a:extLst>
            <a:ext uri="{FF2B5EF4-FFF2-40B4-BE49-F238E27FC236}">
              <a16:creationId xmlns:a16="http://schemas.microsoft.com/office/drawing/2014/main" id="{00000000-0008-0000-0100-00004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57" name="Text Box 149">
          <a:extLst>
            <a:ext uri="{FF2B5EF4-FFF2-40B4-BE49-F238E27FC236}">
              <a16:creationId xmlns:a16="http://schemas.microsoft.com/office/drawing/2014/main" id="{00000000-0008-0000-0100-00004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58" name="Text Box 150">
          <a:extLst>
            <a:ext uri="{FF2B5EF4-FFF2-40B4-BE49-F238E27FC236}">
              <a16:creationId xmlns:a16="http://schemas.microsoft.com/office/drawing/2014/main" id="{00000000-0008-0000-0100-00004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59" name="Text Box 151">
          <a:extLst>
            <a:ext uri="{FF2B5EF4-FFF2-40B4-BE49-F238E27FC236}">
              <a16:creationId xmlns:a16="http://schemas.microsoft.com/office/drawing/2014/main" id="{00000000-0008-0000-0100-00004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60" name="Text Box 152">
          <a:extLst>
            <a:ext uri="{FF2B5EF4-FFF2-40B4-BE49-F238E27FC236}">
              <a16:creationId xmlns:a16="http://schemas.microsoft.com/office/drawing/2014/main" id="{00000000-0008-0000-0100-00005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61" name="Text Box 153">
          <a:extLst>
            <a:ext uri="{FF2B5EF4-FFF2-40B4-BE49-F238E27FC236}">
              <a16:creationId xmlns:a16="http://schemas.microsoft.com/office/drawing/2014/main" id="{00000000-0008-0000-0100-00005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62" name="Text Box 154">
          <a:extLst>
            <a:ext uri="{FF2B5EF4-FFF2-40B4-BE49-F238E27FC236}">
              <a16:creationId xmlns:a16="http://schemas.microsoft.com/office/drawing/2014/main" id="{00000000-0008-0000-0100-00005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63" name="Text Box 155">
          <a:extLst>
            <a:ext uri="{FF2B5EF4-FFF2-40B4-BE49-F238E27FC236}">
              <a16:creationId xmlns:a16="http://schemas.microsoft.com/office/drawing/2014/main" id="{00000000-0008-0000-0100-00005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64" name="Text Box 156">
          <a:extLst>
            <a:ext uri="{FF2B5EF4-FFF2-40B4-BE49-F238E27FC236}">
              <a16:creationId xmlns:a16="http://schemas.microsoft.com/office/drawing/2014/main" id="{00000000-0008-0000-0100-00005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65" name="Text Box 157">
          <a:extLst>
            <a:ext uri="{FF2B5EF4-FFF2-40B4-BE49-F238E27FC236}">
              <a16:creationId xmlns:a16="http://schemas.microsoft.com/office/drawing/2014/main" id="{00000000-0008-0000-0100-00005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66" name="Text Box 158">
          <a:extLst>
            <a:ext uri="{FF2B5EF4-FFF2-40B4-BE49-F238E27FC236}">
              <a16:creationId xmlns:a16="http://schemas.microsoft.com/office/drawing/2014/main" id="{00000000-0008-0000-0100-00005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67" name="Text Box 159">
          <a:extLst>
            <a:ext uri="{FF2B5EF4-FFF2-40B4-BE49-F238E27FC236}">
              <a16:creationId xmlns:a16="http://schemas.microsoft.com/office/drawing/2014/main" id="{00000000-0008-0000-0100-00005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68" name="Text Box 160">
          <a:extLst>
            <a:ext uri="{FF2B5EF4-FFF2-40B4-BE49-F238E27FC236}">
              <a16:creationId xmlns:a16="http://schemas.microsoft.com/office/drawing/2014/main" id="{00000000-0008-0000-0100-00005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69" name="Text Box 161">
          <a:extLst>
            <a:ext uri="{FF2B5EF4-FFF2-40B4-BE49-F238E27FC236}">
              <a16:creationId xmlns:a16="http://schemas.microsoft.com/office/drawing/2014/main" id="{00000000-0008-0000-0100-00005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70" name="Text Box 162">
          <a:extLst>
            <a:ext uri="{FF2B5EF4-FFF2-40B4-BE49-F238E27FC236}">
              <a16:creationId xmlns:a16="http://schemas.microsoft.com/office/drawing/2014/main" id="{00000000-0008-0000-0100-00005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71" name="Text Box 163">
          <a:extLst>
            <a:ext uri="{FF2B5EF4-FFF2-40B4-BE49-F238E27FC236}">
              <a16:creationId xmlns:a16="http://schemas.microsoft.com/office/drawing/2014/main" id="{00000000-0008-0000-0100-00005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72" name="Text Box 164">
          <a:extLst>
            <a:ext uri="{FF2B5EF4-FFF2-40B4-BE49-F238E27FC236}">
              <a16:creationId xmlns:a16="http://schemas.microsoft.com/office/drawing/2014/main" id="{00000000-0008-0000-0100-00005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73" name="Text Box 165">
          <a:extLst>
            <a:ext uri="{FF2B5EF4-FFF2-40B4-BE49-F238E27FC236}">
              <a16:creationId xmlns:a16="http://schemas.microsoft.com/office/drawing/2014/main" id="{00000000-0008-0000-0100-00005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74" name="Text Box 166">
          <a:extLst>
            <a:ext uri="{FF2B5EF4-FFF2-40B4-BE49-F238E27FC236}">
              <a16:creationId xmlns:a16="http://schemas.microsoft.com/office/drawing/2014/main" id="{00000000-0008-0000-0100-00005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75" name="Text Box 167">
          <a:extLst>
            <a:ext uri="{FF2B5EF4-FFF2-40B4-BE49-F238E27FC236}">
              <a16:creationId xmlns:a16="http://schemas.microsoft.com/office/drawing/2014/main" id="{00000000-0008-0000-0100-00005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76" name="Text Box 168">
          <a:extLst>
            <a:ext uri="{FF2B5EF4-FFF2-40B4-BE49-F238E27FC236}">
              <a16:creationId xmlns:a16="http://schemas.microsoft.com/office/drawing/2014/main" id="{00000000-0008-0000-0100-00006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77" name="Text Box 169">
          <a:extLst>
            <a:ext uri="{FF2B5EF4-FFF2-40B4-BE49-F238E27FC236}">
              <a16:creationId xmlns:a16="http://schemas.microsoft.com/office/drawing/2014/main" id="{00000000-0008-0000-0100-00006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78" name="Text Box 170">
          <a:extLst>
            <a:ext uri="{FF2B5EF4-FFF2-40B4-BE49-F238E27FC236}">
              <a16:creationId xmlns:a16="http://schemas.microsoft.com/office/drawing/2014/main" id="{00000000-0008-0000-0100-00006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79" name="Text Box 171">
          <a:extLst>
            <a:ext uri="{FF2B5EF4-FFF2-40B4-BE49-F238E27FC236}">
              <a16:creationId xmlns:a16="http://schemas.microsoft.com/office/drawing/2014/main" id="{00000000-0008-0000-0100-00006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80" name="Text Box 172">
          <a:extLst>
            <a:ext uri="{FF2B5EF4-FFF2-40B4-BE49-F238E27FC236}">
              <a16:creationId xmlns:a16="http://schemas.microsoft.com/office/drawing/2014/main" id="{00000000-0008-0000-0100-00006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81" name="Text Box 173">
          <a:extLst>
            <a:ext uri="{FF2B5EF4-FFF2-40B4-BE49-F238E27FC236}">
              <a16:creationId xmlns:a16="http://schemas.microsoft.com/office/drawing/2014/main" id="{00000000-0008-0000-0100-00006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82" name="Text Box 174">
          <a:extLst>
            <a:ext uri="{FF2B5EF4-FFF2-40B4-BE49-F238E27FC236}">
              <a16:creationId xmlns:a16="http://schemas.microsoft.com/office/drawing/2014/main" id="{00000000-0008-0000-0100-00006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83" name="Text Box 175">
          <a:extLst>
            <a:ext uri="{FF2B5EF4-FFF2-40B4-BE49-F238E27FC236}">
              <a16:creationId xmlns:a16="http://schemas.microsoft.com/office/drawing/2014/main" id="{00000000-0008-0000-0100-00006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84" name="Text Box 176">
          <a:extLst>
            <a:ext uri="{FF2B5EF4-FFF2-40B4-BE49-F238E27FC236}">
              <a16:creationId xmlns:a16="http://schemas.microsoft.com/office/drawing/2014/main" id="{00000000-0008-0000-0100-00006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85" name="Text Box 177">
          <a:extLst>
            <a:ext uri="{FF2B5EF4-FFF2-40B4-BE49-F238E27FC236}">
              <a16:creationId xmlns:a16="http://schemas.microsoft.com/office/drawing/2014/main" id="{00000000-0008-0000-0100-00006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86" name="Text Box 178">
          <a:extLst>
            <a:ext uri="{FF2B5EF4-FFF2-40B4-BE49-F238E27FC236}">
              <a16:creationId xmlns:a16="http://schemas.microsoft.com/office/drawing/2014/main" id="{00000000-0008-0000-0100-00006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87" name="Text Box 179">
          <a:extLst>
            <a:ext uri="{FF2B5EF4-FFF2-40B4-BE49-F238E27FC236}">
              <a16:creationId xmlns:a16="http://schemas.microsoft.com/office/drawing/2014/main" id="{00000000-0008-0000-0100-00006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88" name="Text Box 180">
          <a:extLst>
            <a:ext uri="{FF2B5EF4-FFF2-40B4-BE49-F238E27FC236}">
              <a16:creationId xmlns:a16="http://schemas.microsoft.com/office/drawing/2014/main" id="{00000000-0008-0000-0100-00006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89" name="Text Box 181">
          <a:extLst>
            <a:ext uri="{FF2B5EF4-FFF2-40B4-BE49-F238E27FC236}">
              <a16:creationId xmlns:a16="http://schemas.microsoft.com/office/drawing/2014/main" id="{00000000-0008-0000-0100-00006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90" name="Text Box 182">
          <a:extLst>
            <a:ext uri="{FF2B5EF4-FFF2-40B4-BE49-F238E27FC236}">
              <a16:creationId xmlns:a16="http://schemas.microsoft.com/office/drawing/2014/main" id="{00000000-0008-0000-0100-00006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91" name="Text Box 183">
          <a:extLst>
            <a:ext uri="{FF2B5EF4-FFF2-40B4-BE49-F238E27FC236}">
              <a16:creationId xmlns:a16="http://schemas.microsoft.com/office/drawing/2014/main" id="{00000000-0008-0000-0100-00006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92" name="Text Box 184">
          <a:extLst>
            <a:ext uri="{FF2B5EF4-FFF2-40B4-BE49-F238E27FC236}">
              <a16:creationId xmlns:a16="http://schemas.microsoft.com/office/drawing/2014/main" id="{00000000-0008-0000-0100-00007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93" name="Text Box 185">
          <a:extLst>
            <a:ext uri="{FF2B5EF4-FFF2-40B4-BE49-F238E27FC236}">
              <a16:creationId xmlns:a16="http://schemas.microsoft.com/office/drawing/2014/main" id="{00000000-0008-0000-0100-00007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94" name="Text Box 186">
          <a:extLst>
            <a:ext uri="{FF2B5EF4-FFF2-40B4-BE49-F238E27FC236}">
              <a16:creationId xmlns:a16="http://schemas.microsoft.com/office/drawing/2014/main" id="{00000000-0008-0000-0100-00007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95" name="Text Box 187">
          <a:extLst>
            <a:ext uri="{FF2B5EF4-FFF2-40B4-BE49-F238E27FC236}">
              <a16:creationId xmlns:a16="http://schemas.microsoft.com/office/drawing/2014/main" id="{00000000-0008-0000-0100-00007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96" name="Text Box 188">
          <a:extLst>
            <a:ext uri="{FF2B5EF4-FFF2-40B4-BE49-F238E27FC236}">
              <a16:creationId xmlns:a16="http://schemas.microsoft.com/office/drawing/2014/main" id="{00000000-0008-0000-0100-00007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97" name="Text Box 189">
          <a:extLst>
            <a:ext uri="{FF2B5EF4-FFF2-40B4-BE49-F238E27FC236}">
              <a16:creationId xmlns:a16="http://schemas.microsoft.com/office/drawing/2014/main" id="{00000000-0008-0000-0100-00007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98" name="Text Box 190">
          <a:extLst>
            <a:ext uri="{FF2B5EF4-FFF2-40B4-BE49-F238E27FC236}">
              <a16:creationId xmlns:a16="http://schemas.microsoft.com/office/drawing/2014/main" id="{00000000-0008-0000-0100-00007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399" name="Text Box 191">
          <a:extLst>
            <a:ext uri="{FF2B5EF4-FFF2-40B4-BE49-F238E27FC236}">
              <a16:creationId xmlns:a16="http://schemas.microsoft.com/office/drawing/2014/main" id="{00000000-0008-0000-0100-00007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00" name="Text Box 192">
          <a:extLst>
            <a:ext uri="{FF2B5EF4-FFF2-40B4-BE49-F238E27FC236}">
              <a16:creationId xmlns:a16="http://schemas.microsoft.com/office/drawing/2014/main" id="{00000000-0008-0000-0100-00007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01" name="Text Box 193">
          <a:extLst>
            <a:ext uri="{FF2B5EF4-FFF2-40B4-BE49-F238E27FC236}">
              <a16:creationId xmlns:a16="http://schemas.microsoft.com/office/drawing/2014/main" id="{00000000-0008-0000-0100-00007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02" name="Text Box 194">
          <a:extLst>
            <a:ext uri="{FF2B5EF4-FFF2-40B4-BE49-F238E27FC236}">
              <a16:creationId xmlns:a16="http://schemas.microsoft.com/office/drawing/2014/main" id="{00000000-0008-0000-0100-00007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03" name="Text Box 195">
          <a:extLst>
            <a:ext uri="{FF2B5EF4-FFF2-40B4-BE49-F238E27FC236}">
              <a16:creationId xmlns:a16="http://schemas.microsoft.com/office/drawing/2014/main" id="{00000000-0008-0000-0100-00007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04" name="Text Box 196">
          <a:extLst>
            <a:ext uri="{FF2B5EF4-FFF2-40B4-BE49-F238E27FC236}">
              <a16:creationId xmlns:a16="http://schemas.microsoft.com/office/drawing/2014/main" id="{00000000-0008-0000-0100-00007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05" name="Text Box 197">
          <a:extLst>
            <a:ext uri="{FF2B5EF4-FFF2-40B4-BE49-F238E27FC236}">
              <a16:creationId xmlns:a16="http://schemas.microsoft.com/office/drawing/2014/main" id="{00000000-0008-0000-0100-00007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06" name="Text Box 198">
          <a:extLst>
            <a:ext uri="{FF2B5EF4-FFF2-40B4-BE49-F238E27FC236}">
              <a16:creationId xmlns:a16="http://schemas.microsoft.com/office/drawing/2014/main" id="{00000000-0008-0000-0100-00007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07" name="Text Box 199">
          <a:extLst>
            <a:ext uri="{FF2B5EF4-FFF2-40B4-BE49-F238E27FC236}">
              <a16:creationId xmlns:a16="http://schemas.microsoft.com/office/drawing/2014/main" id="{00000000-0008-0000-0100-00007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08" name="Text Box 200">
          <a:extLst>
            <a:ext uri="{FF2B5EF4-FFF2-40B4-BE49-F238E27FC236}">
              <a16:creationId xmlns:a16="http://schemas.microsoft.com/office/drawing/2014/main" id="{00000000-0008-0000-0100-00008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09" name="Text Box 201">
          <a:extLst>
            <a:ext uri="{FF2B5EF4-FFF2-40B4-BE49-F238E27FC236}">
              <a16:creationId xmlns:a16="http://schemas.microsoft.com/office/drawing/2014/main" id="{00000000-0008-0000-0100-00008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10" name="Text Box 202">
          <a:extLst>
            <a:ext uri="{FF2B5EF4-FFF2-40B4-BE49-F238E27FC236}">
              <a16:creationId xmlns:a16="http://schemas.microsoft.com/office/drawing/2014/main" id="{00000000-0008-0000-0100-00008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11" name="Text Box 203">
          <a:extLst>
            <a:ext uri="{FF2B5EF4-FFF2-40B4-BE49-F238E27FC236}">
              <a16:creationId xmlns:a16="http://schemas.microsoft.com/office/drawing/2014/main" id="{00000000-0008-0000-0100-00008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12" name="Text Box 204">
          <a:extLst>
            <a:ext uri="{FF2B5EF4-FFF2-40B4-BE49-F238E27FC236}">
              <a16:creationId xmlns:a16="http://schemas.microsoft.com/office/drawing/2014/main" id="{00000000-0008-0000-0100-00008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13" name="Text Box 205">
          <a:extLst>
            <a:ext uri="{FF2B5EF4-FFF2-40B4-BE49-F238E27FC236}">
              <a16:creationId xmlns:a16="http://schemas.microsoft.com/office/drawing/2014/main" id="{00000000-0008-0000-0100-00008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14" name="Text Box 206">
          <a:extLst>
            <a:ext uri="{FF2B5EF4-FFF2-40B4-BE49-F238E27FC236}">
              <a16:creationId xmlns:a16="http://schemas.microsoft.com/office/drawing/2014/main" id="{00000000-0008-0000-0100-00008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15" name="Text Box 207">
          <a:extLst>
            <a:ext uri="{FF2B5EF4-FFF2-40B4-BE49-F238E27FC236}">
              <a16:creationId xmlns:a16="http://schemas.microsoft.com/office/drawing/2014/main" id="{00000000-0008-0000-0100-00008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16" name="Text Box 208">
          <a:extLst>
            <a:ext uri="{FF2B5EF4-FFF2-40B4-BE49-F238E27FC236}">
              <a16:creationId xmlns:a16="http://schemas.microsoft.com/office/drawing/2014/main" id="{00000000-0008-0000-0100-00008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17" name="Text Box 209">
          <a:extLst>
            <a:ext uri="{FF2B5EF4-FFF2-40B4-BE49-F238E27FC236}">
              <a16:creationId xmlns:a16="http://schemas.microsoft.com/office/drawing/2014/main" id="{00000000-0008-0000-0100-00008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18" name="Text Box 210">
          <a:extLst>
            <a:ext uri="{FF2B5EF4-FFF2-40B4-BE49-F238E27FC236}">
              <a16:creationId xmlns:a16="http://schemas.microsoft.com/office/drawing/2014/main" id="{00000000-0008-0000-0100-00008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19" name="Text Box 211">
          <a:extLst>
            <a:ext uri="{FF2B5EF4-FFF2-40B4-BE49-F238E27FC236}">
              <a16:creationId xmlns:a16="http://schemas.microsoft.com/office/drawing/2014/main" id="{00000000-0008-0000-0100-00008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20" name="Text Box 212">
          <a:extLst>
            <a:ext uri="{FF2B5EF4-FFF2-40B4-BE49-F238E27FC236}">
              <a16:creationId xmlns:a16="http://schemas.microsoft.com/office/drawing/2014/main" id="{00000000-0008-0000-0100-00008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21" name="Text Box 213">
          <a:extLst>
            <a:ext uri="{FF2B5EF4-FFF2-40B4-BE49-F238E27FC236}">
              <a16:creationId xmlns:a16="http://schemas.microsoft.com/office/drawing/2014/main" id="{00000000-0008-0000-0100-00008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22" name="Text Box 214">
          <a:extLst>
            <a:ext uri="{FF2B5EF4-FFF2-40B4-BE49-F238E27FC236}">
              <a16:creationId xmlns:a16="http://schemas.microsoft.com/office/drawing/2014/main" id="{00000000-0008-0000-0100-00008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23" name="Text Box 215">
          <a:extLst>
            <a:ext uri="{FF2B5EF4-FFF2-40B4-BE49-F238E27FC236}">
              <a16:creationId xmlns:a16="http://schemas.microsoft.com/office/drawing/2014/main" id="{00000000-0008-0000-0100-00008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24" name="Text Box 216">
          <a:extLst>
            <a:ext uri="{FF2B5EF4-FFF2-40B4-BE49-F238E27FC236}">
              <a16:creationId xmlns:a16="http://schemas.microsoft.com/office/drawing/2014/main" id="{00000000-0008-0000-0100-00009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25" name="Text Box 217">
          <a:extLst>
            <a:ext uri="{FF2B5EF4-FFF2-40B4-BE49-F238E27FC236}">
              <a16:creationId xmlns:a16="http://schemas.microsoft.com/office/drawing/2014/main" id="{00000000-0008-0000-0100-00009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26" name="Text Box 218">
          <a:extLst>
            <a:ext uri="{FF2B5EF4-FFF2-40B4-BE49-F238E27FC236}">
              <a16:creationId xmlns:a16="http://schemas.microsoft.com/office/drawing/2014/main" id="{00000000-0008-0000-0100-00009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27" name="Text Box 219">
          <a:extLst>
            <a:ext uri="{FF2B5EF4-FFF2-40B4-BE49-F238E27FC236}">
              <a16:creationId xmlns:a16="http://schemas.microsoft.com/office/drawing/2014/main" id="{00000000-0008-0000-0100-00009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28" name="Text Box 220">
          <a:extLst>
            <a:ext uri="{FF2B5EF4-FFF2-40B4-BE49-F238E27FC236}">
              <a16:creationId xmlns:a16="http://schemas.microsoft.com/office/drawing/2014/main" id="{00000000-0008-0000-0100-00009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29" name="Text Box 221">
          <a:extLst>
            <a:ext uri="{FF2B5EF4-FFF2-40B4-BE49-F238E27FC236}">
              <a16:creationId xmlns:a16="http://schemas.microsoft.com/office/drawing/2014/main" id="{00000000-0008-0000-0100-00009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30" name="Text Box 222">
          <a:extLst>
            <a:ext uri="{FF2B5EF4-FFF2-40B4-BE49-F238E27FC236}">
              <a16:creationId xmlns:a16="http://schemas.microsoft.com/office/drawing/2014/main" id="{00000000-0008-0000-0100-00009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31" name="Text Box 223">
          <a:extLst>
            <a:ext uri="{FF2B5EF4-FFF2-40B4-BE49-F238E27FC236}">
              <a16:creationId xmlns:a16="http://schemas.microsoft.com/office/drawing/2014/main" id="{00000000-0008-0000-0100-00009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32" name="Text Box 224">
          <a:extLst>
            <a:ext uri="{FF2B5EF4-FFF2-40B4-BE49-F238E27FC236}">
              <a16:creationId xmlns:a16="http://schemas.microsoft.com/office/drawing/2014/main" id="{00000000-0008-0000-0100-00009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33" name="Text Box 225">
          <a:extLst>
            <a:ext uri="{FF2B5EF4-FFF2-40B4-BE49-F238E27FC236}">
              <a16:creationId xmlns:a16="http://schemas.microsoft.com/office/drawing/2014/main" id="{00000000-0008-0000-0100-00009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34" name="Text Box 226">
          <a:extLst>
            <a:ext uri="{FF2B5EF4-FFF2-40B4-BE49-F238E27FC236}">
              <a16:creationId xmlns:a16="http://schemas.microsoft.com/office/drawing/2014/main" id="{00000000-0008-0000-0100-00009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35" name="Text Box 227">
          <a:extLst>
            <a:ext uri="{FF2B5EF4-FFF2-40B4-BE49-F238E27FC236}">
              <a16:creationId xmlns:a16="http://schemas.microsoft.com/office/drawing/2014/main" id="{00000000-0008-0000-0100-00009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36" name="Text Box 228">
          <a:extLst>
            <a:ext uri="{FF2B5EF4-FFF2-40B4-BE49-F238E27FC236}">
              <a16:creationId xmlns:a16="http://schemas.microsoft.com/office/drawing/2014/main" id="{00000000-0008-0000-0100-00009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37" name="Text Box 229">
          <a:extLst>
            <a:ext uri="{FF2B5EF4-FFF2-40B4-BE49-F238E27FC236}">
              <a16:creationId xmlns:a16="http://schemas.microsoft.com/office/drawing/2014/main" id="{00000000-0008-0000-0100-00009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38" name="Text Box 230">
          <a:extLst>
            <a:ext uri="{FF2B5EF4-FFF2-40B4-BE49-F238E27FC236}">
              <a16:creationId xmlns:a16="http://schemas.microsoft.com/office/drawing/2014/main" id="{00000000-0008-0000-0100-00009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39" name="Text Box 231">
          <a:extLst>
            <a:ext uri="{FF2B5EF4-FFF2-40B4-BE49-F238E27FC236}">
              <a16:creationId xmlns:a16="http://schemas.microsoft.com/office/drawing/2014/main" id="{00000000-0008-0000-0100-00009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40" name="Text Box 232">
          <a:extLst>
            <a:ext uri="{FF2B5EF4-FFF2-40B4-BE49-F238E27FC236}">
              <a16:creationId xmlns:a16="http://schemas.microsoft.com/office/drawing/2014/main" id="{00000000-0008-0000-0100-0000A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41" name="Text Box 233">
          <a:extLst>
            <a:ext uri="{FF2B5EF4-FFF2-40B4-BE49-F238E27FC236}">
              <a16:creationId xmlns:a16="http://schemas.microsoft.com/office/drawing/2014/main" id="{00000000-0008-0000-0100-0000A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42" name="Text Box 234">
          <a:extLst>
            <a:ext uri="{FF2B5EF4-FFF2-40B4-BE49-F238E27FC236}">
              <a16:creationId xmlns:a16="http://schemas.microsoft.com/office/drawing/2014/main" id="{00000000-0008-0000-0100-0000A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43" name="Text Box 235">
          <a:extLst>
            <a:ext uri="{FF2B5EF4-FFF2-40B4-BE49-F238E27FC236}">
              <a16:creationId xmlns:a16="http://schemas.microsoft.com/office/drawing/2014/main" id="{00000000-0008-0000-0100-0000A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44" name="Text Box 236">
          <a:extLst>
            <a:ext uri="{FF2B5EF4-FFF2-40B4-BE49-F238E27FC236}">
              <a16:creationId xmlns:a16="http://schemas.microsoft.com/office/drawing/2014/main" id="{00000000-0008-0000-0100-0000A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45" name="Text Box 237">
          <a:extLst>
            <a:ext uri="{FF2B5EF4-FFF2-40B4-BE49-F238E27FC236}">
              <a16:creationId xmlns:a16="http://schemas.microsoft.com/office/drawing/2014/main" id="{00000000-0008-0000-0100-0000A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46" name="Text Box 238">
          <a:extLst>
            <a:ext uri="{FF2B5EF4-FFF2-40B4-BE49-F238E27FC236}">
              <a16:creationId xmlns:a16="http://schemas.microsoft.com/office/drawing/2014/main" id="{00000000-0008-0000-0100-0000A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47" name="Text Box 239">
          <a:extLst>
            <a:ext uri="{FF2B5EF4-FFF2-40B4-BE49-F238E27FC236}">
              <a16:creationId xmlns:a16="http://schemas.microsoft.com/office/drawing/2014/main" id="{00000000-0008-0000-0100-0000A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48" name="Text Box 240">
          <a:extLst>
            <a:ext uri="{FF2B5EF4-FFF2-40B4-BE49-F238E27FC236}">
              <a16:creationId xmlns:a16="http://schemas.microsoft.com/office/drawing/2014/main" id="{00000000-0008-0000-0100-0000A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49" name="Text Box 241">
          <a:extLst>
            <a:ext uri="{FF2B5EF4-FFF2-40B4-BE49-F238E27FC236}">
              <a16:creationId xmlns:a16="http://schemas.microsoft.com/office/drawing/2014/main" id="{00000000-0008-0000-0100-0000A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50" name="Text Box 242">
          <a:extLst>
            <a:ext uri="{FF2B5EF4-FFF2-40B4-BE49-F238E27FC236}">
              <a16:creationId xmlns:a16="http://schemas.microsoft.com/office/drawing/2014/main" id="{00000000-0008-0000-0100-0000A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51" name="Text Box 243">
          <a:extLst>
            <a:ext uri="{FF2B5EF4-FFF2-40B4-BE49-F238E27FC236}">
              <a16:creationId xmlns:a16="http://schemas.microsoft.com/office/drawing/2014/main" id="{00000000-0008-0000-0100-0000A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52" name="Text Box 244">
          <a:extLst>
            <a:ext uri="{FF2B5EF4-FFF2-40B4-BE49-F238E27FC236}">
              <a16:creationId xmlns:a16="http://schemas.microsoft.com/office/drawing/2014/main" id="{00000000-0008-0000-0100-0000A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53" name="Text Box 245">
          <a:extLst>
            <a:ext uri="{FF2B5EF4-FFF2-40B4-BE49-F238E27FC236}">
              <a16:creationId xmlns:a16="http://schemas.microsoft.com/office/drawing/2014/main" id="{00000000-0008-0000-0100-0000A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54" name="Text Box 246">
          <a:extLst>
            <a:ext uri="{FF2B5EF4-FFF2-40B4-BE49-F238E27FC236}">
              <a16:creationId xmlns:a16="http://schemas.microsoft.com/office/drawing/2014/main" id="{00000000-0008-0000-0100-0000A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55" name="Text Box 247">
          <a:extLst>
            <a:ext uri="{FF2B5EF4-FFF2-40B4-BE49-F238E27FC236}">
              <a16:creationId xmlns:a16="http://schemas.microsoft.com/office/drawing/2014/main" id="{00000000-0008-0000-0100-0000A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56" name="Text Box 248">
          <a:extLst>
            <a:ext uri="{FF2B5EF4-FFF2-40B4-BE49-F238E27FC236}">
              <a16:creationId xmlns:a16="http://schemas.microsoft.com/office/drawing/2014/main" id="{00000000-0008-0000-0100-0000B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57" name="Text Box 249">
          <a:extLst>
            <a:ext uri="{FF2B5EF4-FFF2-40B4-BE49-F238E27FC236}">
              <a16:creationId xmlns:a16="http://schemas.microsoft.com/office/drawing/2014/main" id="{00000000-0008-0000-0100-0000B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58" name="Text Box 250">
          <a:extLst>
            <a:ext uri="{FF2B5EF4-FFF2-40B4-BE49-F238E27FC236}">
              <a16:creationId xmlns:a16="http://schemas.microsoft.com/office/drawing/2014/main" id="{00000000-0008-0000-0100-0000B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59" name="Text Box 251">
          <a:extLst>
            <a:ext uri="{FF2B5EF4-FFF2-40B4-BE49-F238E27FC236}">
              <a16:creationId xmlns:a16="http://schemas.microsoft.com/office/drawing/2014/main" id="{00000000-0008-0000-0100-0000B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60" name="Text Box 252">
          <a:extLst>
            <a:ext uri="{FF2B5EF4-FFF2-40B4-BE49-F238E27FC236}">
              <a16:creationId xmlns:a16="http://schemas.microsoft.com/office/drawing/2014/main" id="{00000000-0008-0000-0100-0000B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61" name="Text Box 253">
          <a:extLst>
            <a:ext uri="{FF2B5EF4-FFF2-40B4-BE49-F238E27FC236}">
              <a16:creationId xmlns:a16="http://schemas.microsoft.com/office/drawing/2014/main" id="{00000000-0008-0000-0100-0000B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62" name="Text Box 254">
          <a:extLst>
            <a:ext uri="{FF2B5EF4-FFF2-40B4-BE49-F238E27FC236}">
              <a16:creationId xmlns:a16="http://schemas.microsoft.com/office/drawing/2014/main" id="{00000000-0008-0000-0100-0000B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63" name="Text Box 255">
          <a:extLst>
            <a:ext uri="{FF2B5EF4-FFF2-40B4-BE49-F238E27FC236}">
              <a16:creationId xmlns:a16="http://schemas.microsoft.com/office/drawing/2014/main" id="{00000000-0008-0000-0100-0000B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64" name="Text Box 256">
          <a:extLst>
            <a:ext uri="{FF2B5EF4-FFF2-40B4-BE49-F238E27FC236}">
              <a16:creationId xmlns:a16="http://schemas.microsoft.com/office/drawing/2014/main" id="{00000000-0008-0000-0100-0000B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65" name="Text Box 257">
          <a:extLst>
            <a:ext uri="{FF2B5EF4-FFF2-40B4-BE49-F238E27FC236}">
              <a16:creationId xmlns:a16="http://schemas.microsoft.com/office/drawing/2014/main" id="{00000000-0008-0000-0100-0000B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66" name="Text Box 258">
          <a:extLst>
            <a:ext uri="{FF2B5EF4-FFF2-40B4-BE49-F238E27FC236}">
              <a16:creationId xmlns:a16="http://schemas.microsoft.com/office/drawing/2014/main" id="{00000000-0008-0000-0100-0000B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67" name="Text Box 259">
          <a:extLst>
            <a:ext uri="{FF2B5EF4-FFF2-40B4-BE49-F238E27FC236}">
              <a16:creationId xmlns:a16="http://schemas.microsoft.com/office/drawing/2014/main" id="{00000000-0008-0000-0100-0000B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68" name="Text Box 260">
          <a:extLst>
            <a:ext uri="{FF2B5EF4-FFF2-40B4-BE49-F238E27FC236}">
              <a16:creationId xmlns:a16="http://schemas.microsoft.com/office/drawing/2014/main" id="{00000000-0008-0000-0100-0000B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69" name="Text Box 261">
          <a:extLst>
            <a:ext uri="{FF2B5EF4-FFF2-40B4-BE49-F238E27FC236}">
              <a16:creationId xmlns:a16="http://schemas.microsoft.com/office/drawing/2014/main" id="{00000000-0008-0000-0100-0000B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70" name="Text Box 262">
          <a:extLst>
            <a:ext uri="{FF2B5EF4-FFF2-40B4-BE49-F238E27FC236}">
              <a16:creationId xmlns:a16="http://schemas.microsoft.com/office/drawing/2014/main" id="{00000000-0008-0000-0100-0000B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71" name="Text Box 263">
          <a:extLst>
            <a:ext uri="{FF2B5EF4-FFF2-40B4-BE49-F238E27FC236}">
              <a16:creationId xmlns:a16="http://schemas.microsoft.com/office/drawing/2014/main" id="{00000000-0008-0000-0100-0000B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72" name="Text Box 264">
          <a:extLst>
            <a:ext uri="{FF2B5EF4-FFF2-40B4-BE49-F238E27FC236}">
              <a16:creationId xmlns:a16="http://schemas.microsoft.com/office/drawing/2014/main" id="{00000000-0008-0000-0100-0000C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73" name="Text Box 265">
          <a:extLst>
            <a:ext uri="{FF2B5EF4-FFF2-40B4-BE49-F238E27FC236}">
              <a16:creationId xmlns:a16="http://schemas.microsoft.com/office/drawing/2014/main" id="{00000000-0008-0000-0100-0000C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74" name="Text Box 266">
          <a:extLst>
            <a:ext uri="{FF2B5EF4-FFF2-40B4-BE49-F238E27FC236}">
              <a16:creationId xmlns:a16="http://schemas.microsoft.com/office/drawing/2014/main" id="{00000000-0008-0000-0100-0000C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75" name="Text Box 267">
          <a:extLst>
            <a:ext uri="{FF2B5EF4-FFF2-40B4-BE49-F238E27FC236}">
              <a16:creationId xmlns:a16="http://schemas.microsoft.com/office/drawing/2014/main" id="{00000000-0008-0000-0100-0000C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76" name="Text Box 268">
          <a:extLst>
            <a:ext uri="{FF2B5EF4-FFF2-40B4-BE49-F238E27FC236}">
              <a16:creationId xmlns:a16="http://schemas.microsoft.com/office/drawing/2014/main" id="{00000000-0008-0000-0100-0000C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77" name="Text Box 269">
          <a:extLst>
            <a:ext uri="{FF2B5EF4-FFF2-40B4-BE49-F238E27FC236}">
              <a16:creationId xmlns:a16="http://schemas.microsoft.com/office/drawing/2014/main" id="{00000000-0008-0000-0100-0000C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78" name="Text Box 270">
          <a:extLst>
            <a:ext uri="{FF2B5EF4-FFF2-40B4-BE49-F238E27FC236}">
              <a16:creationId xmlns:a16="http://schemas.microsoft.com/office/drawing/2014/main" id="{00000000-0008-0000-0100-0000C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79" name="Text Box 271">
          <a:extLst>
            <a:ext uri="{FF2B5EF4-FFF2-40B4-BE49-F238E27FC236}">
              <a16:creationId xmlns:a16="http://schemas.microsoft.com/office/drawing/2014/main" id="{00000000-0008-0000-0100-0000C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80" name="Text Box 272">
          <a:extLst>
            <a:ext uri="{FF2B5EF4-FFF2-40B4-BE49-F238E27FC236}">
              <a16:creationId xmlns:a16="http://schemas.microsoft.com/office/drawing/2014/main" id="{00000000-0008-0000-0100-0000C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81" name="Text Box 273">
          <a:extLst>
            <a:ext uri="{FF2B5EF4-FFF2-40B4-BE49-F238E27FC236}">
              <a16:creationId xmlns:a16="http://schemas.microsoft.com/office/drawing/2014/main" id="{00000000-0008-0000-0100-0000C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82" name="Text Box 274">
          <a:extLst>
            <a:ext uri="{FF2B5EF4-FFF2-40B4-BE49-F238E27FC236}">
              <a16:creationId xmlns:a16="http://schemas.microsoft.com/office/drawing/2014/main" id="{00000000-0008-0000-0100-0000C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83" name="Text Box 275">
          <a:extLst>
            <a:ext uri="{FF2B5EF4-FFF2-40B4-BE49-F238E27FC236}">
              <a16:creationId xmlns:a16="http://schemas.microsoft.com/office/drawing/2014/main" id="{00000000-0008-0000-0100-0000C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84" name="Text Box 276">
          <a:extLst>
            <a:ext uri="{FF2B5EF4-FFF2-40B4-BE49-F238E27FC236}">
              <a16:creationId xmlns:a16="http://schemas.microsoft.com/office/drawing/2014/main" id="{00000000-0008-0000-0100-0000C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85" name="Text Box 277">
          <a:extLst>
            <a:ext uri="{FF2B5EF4-FFF2-40B4-BE49-F238E27FC236}">
              <a16:creationId xmlns:a16="http://schemas.microsoft.com/office/drawing/2014/main" id="{00000000-0008-0000-0100-0000C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86" name="Text Box 278">
          <a:extLst>
            <a:ext uri="{FF2B5EF4-FFF2-40B4-BE49-F238E27FC236}">
              <a16:creationId xmlns:a16="http://schemas.microsoft.com/office/drawing/2014/main" id="{00000000-0008-0000-0100-0000C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87" name="Text Box 279">
          <a:extLst>
            <a:ext uri="{FF2B5EF4-FFF2-40B4-BE49-F238E27FC236}">
              <a16:creationId xmlns:a16="http://schemas.microsoft.com/office/drawing/2014/main" id="{00000000-0008-0000-0100-0000C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88" name="Text Box 280">
          <a:extLst>
            <a:ext uri="{FF2B5EF4-FFF2-40B4-BE49-F238E27FC236}">
              <a16:creationId xmlns:a16="http://schemas.microsoft.com/office/drawing/2014/main" id="{00000000-0008-0000-0100-0000D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89" name="Text Box 281">
          <a:extLst>
            <a:ext uri="{FF2B5EF4-FFF2-40B4-BE49-F238E27FC236}">
              <a16:creationId xmlns:a16="http://schemas.microsoft.com/office/drawing/2014/main" id="{00000000-0008-0000-0100-0000D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90" name="Text Box 282">
          <a:extLst>
            <a:ext uri="{FF2B5EF4-FFF2-40B4-BE49-F238E27FC236}">
              <a16:creationId xmlns:a16="http://schemas.microsoft.com/office/drawing/2014/main" id="{00000000-0008-0000-0100-0000D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91" name="Text Box 283">
          <a:extLst>
            <a:ext uri="{FF2B5EF4-FFF2-40B4-BE49-F238E27FC236}">
              <a16:creationId xmlns:a16="http://schemas.microsoft.com/office/drawing/2014/main" id="{00000000-0008-0000-0100-0000D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92" name="Text Box 284">
          <a:extLst>
            <a:ext uri="{FF2B5EF4-FFF2-40B4-BE49-F238E27FC236}">
              <a16:creationId xmlns:a16="http://schemas.microsoft.com/office/drawing/2014/main" id="{00000000-0008-0000-0100-0000D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93" name="Text Box 285">
          <a:extLst>
            <a:ext uri="{FF2B5EF4-FFF2-40B4-BE49-F238E27FC236}">
              <a16:creationId xmlns:a16="http://schemas.microsoft.com/office/drawing/2014/main" id="{00000000-0008-0000-0100-0000D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94" name="Text Box 286">
          <a:extLst>
            <a:ext uri="{FF2B5EF4-FFF2-40B4-BE49-F238E27FC236}">
              <a16:creationId xmlns:a16="http://schemas.microsoft.com/office/drawing/2014/main" id="{00000000-0008-0000-0100-0000D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95" name="Text Box 287">
          <a:extLst>
            <a:ext uri="{FF2B5EF4-FFF2-40B4-BE49-F238E27FC236}">
              <a16:creationId xmlns:a16="http://schemas.microsoft.com/office/drawing/2014/main" id="{00000000-0008-0000-0100-0000D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96" name="Text Box 288">
          <a:extLst>
            <a:ext uri="{FF2B5EF4-FFF2-40B4-BE49-F238E27FC236}">
              <a16:creationId xmlns:a16="http://schemas.microsoft.com/office/drawing/2014/main" id="{00000000-0008-0000-0100-0000D8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97" name="Text Box 289">
          <a:extLst>
            <a:ext uri="{FF2B5EF4-FFF2-40B4-BE49-F238E27FC236}">
              <a16:creationId xmlns:a16="http://schemas.microsoft.com/office/drawing/2014/main" id="{00000000-0008-0000-0100-0000D9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98" name="Text Box 290">
          <a:extLst>
            <a:ext uri="{FF2B5EF4-FFF2-40B4-BE49-F238E27FC236}">
              <a16:creationId xmlns:a16="http://schemas.microsoft.com/office/drawing/2014/main" id="{00000000-0008-0000-0100-0000DA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499" name="Text Box 291">
          <a:extLst>
            <a:ext uri="{FF2B5EF4-FFF2-40B4-BE49-F238E27FC236}">
              <a16:creationId xmlns:a16="http://schemas.microsoft.com/office/drawing/2014/main" id="{00000000-0008-0000-0100-0000DB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00" name="Text Box 292">
          <a:extLst>
            <a:ext uri="{FF2B5EF4-FFF2-40B4-BE49-F238E27FC236}">
              <a16:creationId xmlns:a16="http://schemas.microsoft.com/office/drawing/2014/main" id="{00000000-0008-0000-0100-0000DC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01" name="Text Box 293">
          <a:extLst>
            <a:ext uri="{FF2B5EF4-FFF2-40B4-BE49-F238E27FC236}">
              <a16:creationId xmlns:a16="http://schemas.microsoft.com/office/drawing/2014/main" id="{00000000-0008-0000-0100-0000DD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02" name="Text Box 294">
          <a:extLst>
            <a:ext uri="{FF2B5EF4-FFF2-40B4-BE49-F238E27FC236}">
              <a16:creationId xmlns:a16="http://schemas.microsoft.com/office/drawing/2014/main" id="{00000000-0008-0000-0100-0000DE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03" name="Text Box 295">
          <a:extLst>
            <a:ext uri="{FF2B5EF4-FFF2-40B4-BE49-F238E27FC236}">
              <a16:creationId xmlns:a16="http://schemas.microsoft.com/office/drawing/2014/main" id="{00000000-0008-0000-0100-0000DF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04" name="Text Box 296">
          <a:extLst>
            <a:ext uri="{FF2B5EF4-FFF2-40B4-BE49-F238E27FC236}">
              <a16:creationId xmlns:a16="http://schemas.microsoft.com/office/drawing/2014/main" id="{00000000-0008-0000-0100-0000E0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05" name="Text Box 297">
          <a:extLst>
            <a:ext uri="{FF2B5EF4-FFF2-40B4-BE49-F238E27FC236}">
              <a16:creationId xmlns:a16="http://schemas.microsoft.com/office/drawing/2014/main" id="{00000000-0008-0000-0100-0000E1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06" name="Text Box 298">
          <a:extLst>
            <a:ext uri="{FF2B5EF4-FFF2-40B4-BE49-F238E27FC236}">
              <a16:creationId xmlns:a16="http://schemas.microsoft.com/office/drawing/2014/main" id="{00000000-0008-0000-0100-0000E2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07" name="Text Box 299">
          <a:extLst>
            <a:ext uri="{FF2B5EF4-FFF2-40B4-BE49-F238E27FC236}">
              <a16:creationId xmlns:a16="http://schemas.microsoft.com/office/drawing/2014/main" id="{00000000-0008-0000-0100-0000E3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08" name="Text Box 300">
          <a:extLst>
            <a:ext uri="{FF2B5EF4-FFF2-40B4-BE49-F238E27FC236}">
              <a16:creationId xmlns:a16="http://schemas.microsoft.com/office/drawing/2014/main" id="{00000000-0008-0000-0100-0000E4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09" name="Text Box 301">
          <a:extLst>
            <a:ext uri="{FF2B5EF4-FFF2-40B4-BE49-F238E27FC236}">
              <a16:creationId xmlns:a16="http://schemas.microsoft.com/office/drawing/2014/main" id="{00000000-0008-0000-0100-0000E5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10" name="Text Box 302">
          <a:extLst>
            <a:ext uri="{FF2B5EF4-FFF2-40B4-BE49-F238E27FC236}">
              <a16:creationId xmlns:a16="http://schemas.microsoft.com/office/drawing/2014/main" id="{00000000-0008-0000-0100-0000E6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oneCellAnchor>
    <xdr:from>
      <xdr:col>4</xdr:col>
      <xdr:colOff>0</xdr:colOff>
      <xdr:row>0</xdr:row>
      <xdr:rowOff>0</xdr:rowOff>
    </xdr:from>
    <xdr:ext cx="47625" cy="180527"/>
    <xdr:sp macro="" textlink="">
      <xdr:nvSpPr>
        <xdr:cNvPr id="1511" name="Text Box 303">
          <a:extLst>
            <a:ext uri="{FF2B5EF4-FFF2-40B4-BE49-F238E27FC236}">
              <a16:creationId xmlns:a16="http://schemas.microsoft.com/office/drawing/2014/main" id="{00000000-0008-0000-0100-0000E7050000}"/>
            </a:ext>
          </a:extLst>
        </xdr:cNvPr>
        <xdr:cNvSpPr txBox="1">
          <a:spLocks noChangeArrowheads="1"/>
        </xdr:cNvSpPr>
      </xdr:nvSpPr>
      <xdr:spPr bwMode="auto">
        <a:xfrm>
          <a:off x="5700713" y="0"/>
          <a:ext cx="47625" cy="180527"/>
        </a:xfrm>
        <a:prstGeom prst="rect">
          <a:avLst/>
        </a:prstGeom>
        <a:noFill/>
        <a:ln w="9525">
          <a:noFill/>
          <a:miter lim="800000"/>
          <a:headEnd/>
          <a:tailEnd/>
        </a:ln>
        <a:effectLst/>
      </xdr:spPr>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236220</xdr:colOff>
      <xdr:row>7</xdr:row>
      <xdr:rowOff>15240</xdr:rowOff>
    </xdr:from>
    <xdr:to>
      <xdr:col>6</xdr:col>
      <xdr:colOff>169545</xdr:colOff>
      <xdr:row>9</xdr:row>
      <xdr:rowOff>15240</xdr:rowOff>
    </xdr:to>
    <xdr:sp macro="" textlink="">
      <xdr:nvSpPr>
        <xdr:cNvPr id="2" name="四角形吹き出し 4">
          <a:extLst>
            <a:ext uri="{FF2B5EF4-FFF2-40B4-BE49-F238E27FC236}">
              <a16:creationId xmlns:a16="http://schemas.microsoft.com/office/drawing/2014/main" id="{00000000-0008-0000-0300-000002000000}"/>
            </a:ext>
          </a:extLst>
        </xdr:cNvPr>
        <xdr:cNvSpPr/>
      </xdr:nvSpPr>
      <xdr:spPr>
        <a:xfrm>
          <a:off x="3036570" y="396240"/>
          <a:ext cx="2562225" cy="381000"/>
        </a:xfrm>
        <a:prstGeom prst="wedgeRectCallout">
          <a:avLst>
            <a:gd name="adj1" fmla="val -65524"/>
            <a:gd name="adj2" fmla="val -20384"/>
          </a:avLst>
        </a:prstGeom>
      </xdr:spPr>
      <xdr:style>
        <a:lnRef idx="1">
          <a:schemeClr val="accent1"/>
        </a:lnRef>
        <a:fillRef idx="2">
          <a:schemeClr val="accent1"/>
        </a:fillRef>
        <a:effectRef idx="1">
          <a:schemeClr val="accent1"/>
        </a:effectRef>
        <a:fontRef idx="minor">
          <a:schemeClr val="dk1"/>
        </a:fontRef>
      </xdr:style>
      <xdr:txBody>
        <a:bodyPr vertOverflow="clip" rtlCol="0" anchor="t" anchorCtr="0"/>
        <a:lstStyle/>
        <a:p>
          <a:pPr rtl="0" fontAlgn="base"/>
          <a:r>
            <a:rPr kumimoji="1" lang="ja-JP" altLang="en-US" sz="1000">
              <a:solidFill>
                <a:sysClr val="windowText" lastClr="000000"/>
              </a:solidFill>
              <a:latin typeface="+mn-lt"/>
              <a:ea typeface="+mn-ea"/>
              <a:cs typeface="+mn-cs"/>
            </a:rPr>
            <a:t>レビュー指摘</a:t>
          </a:r>
          <a:r>
            <a:rPr kumimoji="1" lang="en-US" altLang="ja-JP" sz="1000">
              <a:solidFill>
                <a:sysClr val="windowText" lastClr="000000"/>
              </a:solidFill>
              <a:latin typeface="+mn-lt"/>
              <a:ea typeface="+mn-ea"/>
              <a:cs typeface="+mn-cs"/>
            </a:rPr>
            <a:t>_</a:t>
          </a:r>
          <a:r>
            <a:rPr kumimoji="1" lang="ja-JP" altLang="en-US" sz="1000">
              <a:solidFill>
                <a:sysClr val="windowText" lastClr="000000"/>
              </a:solidFill>
              <a:latin typeface="+mn-lt"/>
              <a:ea typeface="+mn-ea"/>
              <a:cs typeface="+mn-cs"/>
            </a:rPr>
            <a:t>意味</a:t>
          </a:r>
          <a:endParaRPr kumimoji="1" lang="en-US" altLang="ja-JP" sz="1000">
            <a:solidFill>
              <a:sysClr val="windowText" lastClr="000000"/>
            </a:solidFill>
            <a:latin typeface="+mn-lt"/>
            <a:ea typeface="+mn-ea"/>
            <a:cs typeface="+mn-cs"/>
          </a:endParaRPr>
        </a:p>
      </xdr:txBody>
    </xdr:sp>
    <xdr:clientData/>
  </xdr:twoCellAnchor>
  <xdr:twoCellAnchor>
    <xdr:from>
      <xdr:col>2</xdr:col>
      <xdr:colOff>236220</xdr:colOff>
      <xdr:row>7</xdr:row>
      <xdr:rowOff>15240</xdr:rowOff>
    </xdr:from>
    <xdr:to>
      <xdr:col>6</xdr:col>
      <xdr:colOff>169545</xdr:colOff>
      <xdr:row>9</xdr:row>
      <xdr:rowOff>15240</xdr:rowOff>
    </xdr:to>
    <xdr:sp macro="" textlink="">
      <xdr:nvSpPr>
        <xdr:cNvPr id="3" name="四角形吹き出し 4">
          <a:extLst>
            <a:ext uri="{FF2B5EF4-FFF2-40B4-BE49-F238E27FC236}">
              <a16:creationId xmlns:a16="http://schemas.microsoft.com/office/drawing/2014/main" id="{00000000-0008-0000-0300-000003000000}"/>
            </a:ext>
          </a:extLst>
        </xdr:cNvPr>
        <xdr:cNvSpPr/>
      </xdr:nvSpPr>
      <xdr:spPr>
        <a:xfrm>
          <a:off x="3036570" y="396240"/>
          <a:ext cx="2562225" cy="381000"/>
        </a:xfrm>
        <a:prstGeom prst="wedgeRectCallout">
          <a:avLst>
            <a:gd name="adj1" fmla="val -65524"/>
            <a:gd name="adj2" fmla="val -20384"/>
          </a:avLst>
        </a:prstGeom>
      </xdr:spPr>
      <xdr:style>
        <a:lnRef idx="1">
          <a:schemeClr val="accent1"/>
        </a:lnRef>
        <a:fillRef idx="2">
          <a:schemeClr val="accent1"/>
        </a:fillRef>
        <a:effectRef idx="1">
          <a:schemeClr val="accent1"/>
        </a:effectRef>
        <a:fontRef idx="minor">
          <a:schemeClr val="dk1"/>
        </a:fontRef>
      </xdr:style>
      <xdr:txBody>
        <a:bodyPr vertOverflow="clip" rtlCol="0" anchor="t" anchorCtr="0"/>
        <a:lstStyle/>
        <a:p>
          <a:pPr rtl="0" fontAlgn="base"/>
          <a:r>
            <a:rPr kumimoji="1" lang="ja-JP" altLang="en-US" sz="1000">
              <a:solidFill>
                <a:sysClr val="windowText" lastClr="000000"/>
              </a:solidFill>
              <a:latin typeface="+mn-lt"/>
              <a:ea typeface="+mn-ea"/>
              <a:cs typeface="+mn-cs"/>
            </a:rPr>
            <a:t>レビュー指摘</a:t>
          </a:r>
          <a:r>
            <a:rPr kumimoji="1" lang="en-US" altLang="ja-JP" sz="1000">
              <a:solidFill>
                <a:sysClr val="windowText" lastClr="000000"/>
              </a:solidFill>
              <a:latin typeface="+mn-lt"/>
              <a:ea typeface="+mn-ea"/>
              <a:cs typeface="+mn-cs"/>
            </a:rPr>
            <a:t>_</a:t>
          </a:r>
          <a:r>
            <a:rPr kumimoji="1" lang="ja-JP" altLang="en-US" sz="1000">
              <a:solidFill>
                <a:sysClr val="windowText" lastClr="000000"/>
              </a:solidFill>
              <a:latin typeface="+mn-lt"/>
              <a:ea typeface="+mn-ea"/>
              <a:cs typeface="+mn-cs"/>
            </a:rPr>
            <a:t>意味</a:t>
          </a:r>
          <a:endParaRPr kumimoji="1" lang="en-US" altLang="ja-JP" sz="10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361950</xdr:colOff>
      <xdr:row>1</xdr:row>
      <xdr:rowOff>139700</xdr:rowOff>
    </xdr:from>
    <xdr:to>
      <xdr:col>2</xdr:col>
      <xdr:colOff>2579212</xdr:colOff>
      <xdr:row>1</xdr:row>
      <xdr:rowOff>4629150</xdr:rowOff>
    </xdr:to>
    <xdr:pic>
      <xdr:nvPicPr>
        <xdr:cNvPr id="9" name="Picture 8"/>
        <xdr:cNvPicPr>
          <a:picLocks noChangeAspect="1"/>
        </xdr:cNvPicPr>
      </xdr:nvPicPr>
      <xdr:blipFill>
        <a:blip xmlns:r="http://schemas.openxmlformats.org/officeDocument/2006/relationships" r:embed="rId1"/>
        <a:stretch>
          <a:fillRect/>
        </a:stretch>
      </xdr:blipFill>
      <xdr:spPr>
        <a:xfrm>
          <a:off x="5346700" y="323850"/>
          <a:ext cx="2217262" cy="4489450"/>
        </a:xfrm>
        <a:prstGeom prst="rect">
          <a:avLst/>
        </a:prstGeom>
      </xdr:spPr>
    </xdr:pic>
    <xdr:clientData/>
  </xdr:twoCellAnchor>
  <xdr:twoCellAnchor editAs="oneCell">
    <xdr:from>
      <xdr:col>2</xdr:col>
      <xdr:colOff>3187699</xdr:colOff>
      <xdr:row>1</xdr:row>
      <xdr:rowOff>88900</xdr:rowOff>
    </xdr:from>
    <xdr:to>
      <xdr:col>2</xdr:col>
      <xdr:colOff>5569071</xdr:colOff>
      <xdr:row>1</xdr:row>
      <xdr:rowOff>4641850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8172449" y="273050"/>
          <a:ext cx="2381372" cy="4552950"/>
        </a:xfrm>
        <a:prstGeom prst="rect">
          <a:avLst/>
        </a:prstGeom>
      </xdr:spPr>
    </xdr:pic>
    <xdr:clientData/>
  </xdr:twoCellAnchor>
  <xdr:twoCellAnchor>
    <xdr:from>
      <xdr:col>2</xdr:col>
      <xdr:colOff>3378200</xdr:colOff>
      <xdr:row>1</xdr:row>
      <xdr:rowOff>3975100</xdr:rowOff>
    </xdr:from>
    <xdr:to>
      <xdr:col>2</xdr:col>
      <xdr:colOff>5441950</xdr:colOff>
      <xdr:row>1</xdr:row>
      <xdr:rowOff>4286250</xdr:rowOff>
    </xdr:to>
    <xdr:sp macro="" textlink="">
      <xdr:nvSpPr>
        <xdr:cNvPr id="14" name="Rectangle 13"/>
        <xdr:cNvSpPr/>
      </xdr:nvSpPr>
      <xdr:spPr>
        <a:xfrm>
          <a:off x="8362950" y="4159250"/>
          <a:ext cx="2063750" cy="311150"/>
        </a:xfrm>
        <a:prstGeom prst="rect">
          <a:avLst/>
        </a:prstGeom>
        <a:no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425450</xdr:colOff>
      <xdr:row>1</xdr:row>
      <xdr:rowOff>3803650</xdr:rowOff>
    </xdr:from>
    <xdr:to>
      <xdr:col>2</xdr:col>
      <xdr:colOff>2533650</xdr:colOff>
      <xdr:row>1</xdr:row>
      <xdr:rowOff>4154916</xdr:rowOff>
    </xdr:to>
    <xdr:sp macro="" textlink="">
      <xdr:nvSpPr>
        <xdr:cNvPr id="15" name="Rectangle 14"/>
        <xdr:cNvSpPr/>
      </xdr:nvSpPr>
      <xdr:spPr>
        <a:xfrm>
          <a:off x="5410200" y="3987800"/>
          <a:ext cx="2108200" cy="351266"/>
        </a:xfrm>
        <a:prstGeom prst="rect">
          <a:avLst/>
        </a:prstGeom>
        <a:no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234950</xdr:colOff>
      <xdr:row>2</xdr:row>
      <xdr:rowOff>50800</xdr:rowOff>
    </xdr:from>
    <xdr:to>
      <xdr:col>2</xdr:col>
      <xdr:colOff>4311860</xdr:colOff>
      <xdr:row>2</xdr:row>
      <xdr:rowOff>2876695</xdr:rowOff>
    </xdr:to>
    <xdr:pic>
      <xdr:nvPicPr>
        <xdr:cNvPr id="17" name="Picture 16"/>
        <xdr:cNvPicPr>
          <a:picLocks noChangeAspect="1"/>
        </xdr:cNvPicPr>
      </xdr:nvPicPr>
      <xdr:blipFill>
        <a:blip xmlns:r="http://schemas.openxmlformats.org/officeDocument/2006/relationships" r:embed="rId3"/>
        <a:stretch>
          <a:fillRect/>
        </a:stretch>
      </xdr:blipFill>
      <xdr:spPr>
        <a:xfrm>
          <a:off x="5219700" y="5124450"/>
          <a:ext cx="4076910" cy="2825895"/>
        </a:xfrm>
        <a:prstGeom prst="rect">
          <a:avLst/>
        </a:prstGeom>
      </xdr:spPr>
    </xdr:pic>
    <xdr:clientData/>
  </xdr:twoCellAnchor>
  <xdr:twoCellAnchor editAs="oneCell">
    <xdr:from>
      <xdr:col>2</xdr:col>
      <xdr:colOff>50801</xdr:colOff>
      <xdr:row>3</xdr:row>
      <xdr:rowOff>158750</xdr:rowOff>
    </xdr:from>
    <xdr:to>
      <xdr:col>2</xdr:col>
      <xdr:colOff>5994401</xdr:colOff>
      <xdr:row>3</xdr:row>
      <xdr:rowOff>2736983</xdr:rowOff>
    </xdr:to>
    <xdr:pic>
      <xdr:nvPicPr>
        <xdr:cNvPr id="18" name="Picture 17"/>
        <xdr:cNvPicPr>
          <a:picLocks noChangeAspect="1"/>
        </xdr:cNvPicPr>
      </xdr:nvPicPr>
      <xdr:blipFill>
        <a:blip xmlns:r="http://schemas.openxmlformats.org/officeDocument/2006/relationships" r:embed="rId4"/>
        <a:stretch>
          <a:fillRect/>
        </a:stretch>
      </xdr:blipFill>
      <xdr:spPr>
        <a:xfrm>
          <a:off x="5035551" y="8312150"/>
          <a:ext cx="5943600" cy="2578233"/>
        </a:xfrm>
        <a:prstGeom prst="rect">
          <a:avLst/>
        </a:prstGeom>
      </xdr:spPr>
    </xdr:pic>
    <xdr:clientData/>
  </xdr:twoCellAnchor>
  <xdr:twoCellAnchor>
    <xdr:from>
      <xdr:col>2</xdr:col>
      <xdr:colOff>584200</xdr:colOff>
      <xdr:row>2</xdr:row>
      <xdr:rowOff>1809750</xdr:rowOff>
    </xdr:from>
    <xdr:to>
      <xdr:col>2</xdr:col>
      <xdr:colOff>2647950</xdr:colOff>
      <xdr:row>2</xdr:row>
      <xdr:rowOff>2120900</xdr:rowOff>
    </xdr:to>
    <xdr:sp macro="" textlink="">
      <xdr:nvSpPr>
        <xdr:cNvPr id="20" name="Rectangle 19"/>
        <xdr:cNvSpPr/>
      </xdr:nvSpPr>
      <xdr:spPr>
        <a:xfrm>
          <a:off x="5568950" y="6883400"/>
          <a:ext cx="2063750" cy="311150"/>
        </a:xfrm>
        <a:prstGeom prst="rect">
          <a:avLst/>
        </a:prstGeom>
        <a:no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508000</xdr:colOff>
      <xdr:row>3</xdr:row>
      <xdr:rowOff>603250</xdr:rowOff>
    </xdr:from>
    <xdr:to>
      <xdr:col>2</xdr:col>
      <xdr:colOff>5981699</xdr:colOff>
      <xdr:row>3</xdr:row>
      <xdr:rowOff>914400</xdr:rowOff>
    </xdr:to>
    <xdr:sp macro="" textlink="">
      <xdr:nvSpPr>
        <xdr:cNvPr id="21" name="Rectangle 20"/>
        <xdr:cNvSpPr/>
      </xdr:nvSpPr>
      <xdr:spPr>
        <a:xfrm>
          <a:off x="5492750" y="8756650"/>
          <a:ext cx="5473699" cy="311150"/>
        </a:xfrm>
        <a:prstGeom prst="rect">
          <a:avLst/>
        </a:prstGeom>
        <a:no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1181100</xdr:colOff>
      <xdr:row>4</xdr:row>
      <xdr:rowOff>19050</xdr:rowOff>
    </xdr:from>
    <xdr:to>
      <xdr:col>2</xdr:col>
      <xdr:colOff>3398362</xdr:colOff>
      <xdr:row>4</xdr:row>
      <xdr:rowOff>4508500</xdr:rowOff>
    </xdr:to>
    <xdr:pic>
      <xdr:nvPicPr>
        <xdr:cNvPr id="22" name="Picture 21"/>
        <xdr:cNvPicPr>
          <a:picLocks noChangeAspect="1"/>
        </xdr:cNvPicPr>
      </xdr:nvPicPr>
      <xdr:blipFill>
        <a:blip xmlns:r="http://schemas.openxmlformats.org/officeDocument/2006/relationships" r:embed="rId1"/>
        <a:stretch>
          <a:fillRect/>
        </a:stretch>
      </xdr:blipFill>
      <xdr:spPr>
        <a:xfrm>
          <a:off x="6165850" y="11074400"/>
          <a:ext cx="2217262" cy="4489450"/>
        </a:xfrm>
        <a:prstGeom prst="rect">
          <a:avLst/>
        </a:prstGeom>
      </xdr:spPr>
    </xdr:pic>
    <xdr:clientData/>
  </xdr:twoCellAnchor>
  <xdr:twoCellAnchor>
    <xdr:from>
      <xdr:col>2</xdr:col>
      <xdr:colOff>1250950</xdr:colOff>
      <xdr:row>4</xdr:row>
      <xdr:rowOff>535215</xdr:rowOff>
    </xdr:from>
    <xdr:to>
      <xdr:col>2</xdr:col>
      <xdr:colOff>3359150</xdr:colOff>
      <xdr:row>4</xdr:row>
      <xdr:rowOff>979715</xdr:rowOff>
    </xdr:to>
    <xdr:sp macro="" textlink="">
      <xdr:nvSpPr>
        <xdr:cNvPr id="25" name="Rectangle 24"/>
        <xdr:cNvSpPr/>
      </xdr:nvSpPr>
      <xdr:spPr>
        <a:xfrm>
          <a:off x="6240236" y="11593286"/>
          <a:ext cx="2108200" cy="444500"/>
        </a:xfrm>
        <a:prstGeom prst="rect">
          <a:avLst/>
        </a:prstGeom>
        <a:no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10.252\iso%2027001\Jenny\ISOTraining\Dev1_ISO_Preparation\DataPrepare\Talend\03_LATEST\&#12304;TALEND&#12305;NDMM_SD_F-04_&#12524;&#12499;&#12517;&#12540;&#25351;&#25688;&#12539;&#25925;&#38556;&#34920;(ReviewCommentAndBugManage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Name(TALEND)"/>
      <sheetName val="Project Name(TALEND) (Sample)"/>
      <sheetName val="Classification &amp; Analysis point"/>
      <sheetName val="Data"/>
    </sheetNames>
    <sheetDataSet>
      <sheetData sheetId="0"/>
      <sheetData sheetId="1"/>
      <sheetData sheetId="2"/>
      <sheetData sheetId="3">
        <row r="46">
          <cell r="K46" t="str">
            <v>M1: Interface Error</v>
          </cell>
        </row>
        <row r="47">
          <cell r="K47" t="str">
            <v>M2: Logical error</v>
          </cell>
        </row>
        <row r="48">
          <cell r="K48" t="str">
            <v>M3: Data Defination error</v>
          </cell>
        </row>
        <row r="49">
          <cell r="K49" t="str">
            <v>M4: Table Defination error</v>
          </cell>
        </row>
        <row r="50">
          <cell r="K50" t="str">
            <v>M5: Format error</v>
          </cell>
        </row>
        <row r="51">
          <cell r="K51" t="str">
            <v>M6: Other</v>
          </cell>
        </row>
        <row r="52">
          <cell r="K52" t="str">
            <v>UT1: Test Design Specification Extraction Omission</v>
          </cell>
        </row>
        <row r="53">
          <cell r="K53" t="str">
            <v>UT2: Omission of Test itself</v>
          </cell>
        </row>
        <row r="54">
          <cell r="K54" t="str">
            <v>UT3: Result Confirmation Mistake</v>
          </cell>
        </row>
        <row r="55">
          <cell r="K55" t="str">
            <v>UT4: Environment Problem</v>
          </cell>
        </row>
        <row r="56">
          <cell r="K56" t="str">
            <v>UT5: Other</v>
          </cell>
        </row>
        <row r="57">
          <cell r="K57" t="str">
            <v>IT1: Other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
  <sheetViews>
    <sheetView showGridLines="0" topLeftCell="A16" workbookViewId="0">
      <selection activeCell="B28" sqref="A28:XFD28"/>
    </sheetView>
  </sheetViews>
  <sheetFormatPr defaultRowHeight="14.5"/>
  <cols>
    <col min="1" max="1" width="26.81640625" customWidth="1"/>
    <col min="2" max="2" width="69.81640625" customWidth="1"/>
  </cols>
  <sheetData>
    <row r="1" spans="1:2" ht="28">
      <c r="A1" s="2" t="s">
        <v>0</v>
      </c>
      <c r="B1" s="2" t="s">
        <v>1</v>
      </c>
    </row>
    <row r="2" spans="1:2">
      <c r="A2" s="108" t="s">
        <v>2</v>
      </c>
      <c r="B2" s="108" t="s">
        <v>3</v>
      </c>
    </row>
    <row r="3" spans="1:2">
      <c r="A3" s="109"/>
      <c r="B3" s="109"/>
    </row>
    <row r="4" spans="1:2">
      <c r="A4" s="109"/>
      <c r="B4" s="109"/>
    </row>
    <row r="5" spans="1:2">
      <c r="A5" s="109"/>
      <c r="B5" s="110"/>
    </row>
    <row r="6" spans="1:2" ht="37.5">
      <c r="A6" s="109"/>
      <c r="B6" s="1" t="s">
        <v>4</v>
      </c>
    </row>
    <row r="7" spans="1:2" ht="25">
      <c r="A7" s="109"/>
      <c r="B7" s="6" t="s">
        <v>5</v>
      </c>
    </row>
    <row r="8" spans="1:2" ht="25">
      <c r="A8" s="109"/>
      <c r="B8" s="6" t="s">
        <v>6</v>
      </c>
    </row>
    <row r="9" spans="1:2" ht="37.5">
      <c r="A9" s="110"/>
      <c r="B9" s="1" t="s">
        <v>7</v>
      </c>
    </row>
    <row r="10" spans="1:2" ht="25">
      <c r="A10" s="108" t="s">
        <v>8</v>
      </c>
      <c r="B10" s="6" t="s">
        <v>9</v>
      </c>
    </row>
    <row r="11" spans="1:2">
      <c r="A11" s="109"/>
      <c r="B11" s="7"/>
    </row>
    <row r="12" spans="1:2" ht="25">
      <c r="A12" s="109"/>
      <c r="B12" s="1" t="s">
        <v>10</v>
      </c>
    </row>
    <row r="13" spans="1:2" ht="25">
      <c r="A13" s="109"/>
      <c r="B13" s="1" t="s">
        <v>11</v>
      </c>
    </row>
    <row r="14" spans="1:2">
      <c r="A14" s="109"/>
      <c r="B14" s="108" t="s">
        <v>12</v>
      </c>
    </row>
    <row r="15" spans="1:2">
      <c r="A15" s="109"/>
      <c r="B15" s="109"/>
    </row>
    <row r="16" spans="1:2">
      <c r="A16" s="110"/>
      <c r="B16" s="110"/>
    </row>
    <row r="17" spans="1:2" ht="100" customHeight="1">
      <c r="A17" s="95" t="s">
        <v>13</v>
      </c>
      <c r="B17" s="1" t="s">
        <v>14</v>
      </c>
    </row>
    <row r="18" spans="1:2" ht="25">
      <c r="A18" s="108" t="s">
        <v>15</v>
      </c>
      <c r="B18" s="1" t="s">
        <v>16</v>
      </c>
    </row>
    <row r="19" spans="1:2" ht="25">
      <c r="A19" s="110"/>
      <c r="B19" s="1" t="s">
        <v>17</v>
      </c>
    </row>
    <row r="20" spans="1:2" ht="25">
      <c r="A20" s="108" t="s">
        <v>18</v>
      </c>
      <c r="B20" s="1" t="s">
        <v>19</v>
      </c>
    </row>
    <row r="21" spans="1:2" ht="25">
      <c r="A21" s="109"/>
      <c r="B21" s="1" t="s">
        <v>20</v>
      </c>
    </row>
    <row r="22" spans="1:2" ht="25">
      <c r="A22" s="109"/>
      <c r="B22" s="1" t="s">
        <v>21</v>
      </c>
    </row>
    <row r="23" spans="1:2" ht="25">
      <c r="A23" s="109"/>
      <c r="B23" s="1" t="s">
        <v>22</v>
      </c>
    </row>
    <row r="24" spans="1:2" ht="25">
      <c r="A24" s="110"/>
      <c r="B24" s="1" t="s">
        <v>23</v>
      </c>
    </row>
    <row r="25" spans="1:2" ht="25">
      <c r="A25" s="108" t="s">
        <v>24</v>
      </c>
      <c r="B25" s="1" t="s">
        <v>25</v>
      </c>
    </row>
    <row r="26" spans="1:2" ht="25">
      <c r="A26" s="109"/>
      <c r="B26" s="1" t="s">
        <v>26</v>
      </c>
    </row>
    <row r="27" spans="1:2" ht="25">
      <c r="A27" s="109"/>
      <c r="B27" s="1" t="s">
        <v>27</v>
      </c>
    </row>
    <row r="28" spans="1:2">
      <c r="A28" s="109"/>
      <c r="B28" s="3" t="s">
        <v>28</v>
      </c>
    </row>
    <row r="29" spans="1:2" ht="25">
      <c r="A29" s="110"/>
      <c r="B29" s="1" t="s">
        <v>29</v>
      </c>
    </row>
    <row r="30" spans="1:2" ht="37.5">
      <c r="A30" s="1" t="s">
        <v>30</v>
      </c>
      <c r="B30" s="1" t="s">
        <v>31</v>
      </c>
    </row>
    <row r="31" spans="1:2" ht="25">
      <c r="A31" s="108" t="s">
        <v>32</v>
      </c>
      <c r="B31" s="1" t="s">
        <v>33</v>
      </c>
    </row>
    <row r="32" spans="1:2">
      <c r="A32" s="109"/>
      <c r="B32" s="108" t="s">
        <v>34</v>
      </c>
    </row>
    <row r="33" spans="1:2">
      <c r="A33" s="110"/>
      <c r="B33" s="110"/>
    </row>
    <row r="34" spans="1:2" ht="25">
      <c r="A34" s="108" t="s">
        <v>35</v>
      </c>
      <c r="B34" s="1" t="s">
        <v>36</v>
      </c>
    </row>
    <row r="35" spans="1:2">
      <c r="A35" s="109"/>
      <c r="B35" s="4" t="s">
        <v>37</v>
      </c>
    </row>
    <row r="36" spans="1:2" ht="25">
      <c r="A36" s="110"/>
      <c r="B36" s="1" t="s">
        <v>38</v>
      </c>
    </row>
    <row r="37" spans="1:2" ht="25">
      <c r="A37" s="108" t="s">
        <v>39</v>
      </c>
      <c r="B37" s="1" t="s">
        <v>40</v>
      </c>
    </row>
    <row r="38" spans="1:2" ht="25">
      <c r="A38" s="109"/>
      <c r="B38" s="1" t="s">
        <v>41</v>
      </c>
    </row>
    <row r="39" spans="1:2" ht="25">
      <c r="A39" s="110"/>
      <c r="B39" s="1" t="s">
        <v>41</v>
      </c>
    </row>
    <row r="40" spans="1:2">
      <c r="A40" s="108" t="s">
        <v>42</v>
      </c>
      <c r="B40" s="108" t="s">
        <v>43</v>
      </c>
    </row>
    <row r="41" spans="1:2">
      <c r="A41" s="109"/>
      <c r="B41" s="109"/>
    </row>
    <row r="42" spans="1:2">
      <c r="A42" s="109"/>
      <c r="B42" s="110"/>
    </row>
    <row r="43" spans="1:2" ht="25">
      <c r="A43" s="110"/>
      <c r="B43" s="1" t="s">
        <v>44</v>
      </c>
    </row>
    <row r="44" spans="1:2" ht="25">
      <c r="A44" s="108" t="s">
        <v>45</v>
      </c>
      <c r="B44" s="1" t="s">
        <v>46</v>
      </c>
    </row>
    <row r="45" spans="1:2" ht="25">
      <c r="A45" s="110"/>
      <c r="B45" s="1" t="s">
        <v>47</v>
      </c>
    </row>
  </sheetData>
  <mergeCells count="14">
    <mergeCell ref="A44:A45"/>
    <mergeCell ref="A25:A29"/>
    <mergeCell ref="A31:A33"/>
    <mergeCell ref="B32:B33"/>
    <mergeCell ref="A34:A36"/>
    <mergeCell ref="A37:A39"/>
    <mergeCell ref="A40:A43"/>
    <mergeCell ref="B40:B42"/>
    <mergeCell ref="A20:A24"/>
    <mergeCell ref="A2:A9"/>
    <mergeCell ref="B2:B5"/>
    <mergeCell ref="A10:A16"/>
    <mergeCell ref="B14:B16"/>
    <mergeCell ref="A18:A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48"/>
  <sheetViews>
    <sheetView showGridLines="0" tabSelected="1" view="pageBreakPreview" topLeftCell="A16" zoomScale="50" zoomScaleNormal="73" zoomScaleSheetLayoutView="50" zoomScalePageLayoutView="90" workbookViewId="0">
      <selection activeCell="E21" sqref="E21"/>
    </sheetView>
  </sheetViews>
  <sheetFormatPr defaultColWidth="8.54296875" defaultRowHeight="14"/>
  <cols>
    <col min="1" max="1" width="7" style="63" bestFit="1" customWidth="1"/>
    <col min="2" max="2" width="8.1796875" style="63" customWidth="1"/>
    <col min="3" max="3" width="40.54296875" style="63" customWidth="1"/>
    <col min="4" max="4" width="26.54296875" style="63" customWidth="1"/>
    <col min="5" max="5" width="26.453125" style="86" customWidth="1"/>
    <col min="6" max="6" width="40.54296875" style="86" customWidth="1"/>
    <col min="7" max="10" width="19.1796875" style="63" customWidth="1"/>
    <col min="11" max="11" width="60.453125" style="63" customWidth="1"/>
    <col min="12" max="12" width="13.453125" style="63" bestFit="1" customWidth="1"/>
    <col min="13" max="13" width="56" style="63" bestFit="1" customWidth="1"/>
    <col min="14" max="14" width="20.453125" style="63" bestFit="1" customWidth="1"/>
    <col min="15" max="15" width="49.54296875" style="63" customWidth="1"/>
    <col min="16" max="16" width="53.54296875" style="63" customWidth="1"/>
    <col min="17" max="17" width="28.453125" style="63" bestFit="1" customWidth="1"/>
    <col min="18" max="18" width="24.453125" style="63" customWidth="1"/>
    <col min="19" max="19" width="43.453125" style="63" bestFit="1" customWidth="1"/>
    <col min="20" max="20" width="47.54296875" style="63" bestFit="1" customWidth="1"/>
    <col min="21" max="21" width="18.453125" style="63" bestFit="1" customWidth="1"/>
    <col min="22" max="22" width="24.453125" style="63" bestFit="1" customWidth="1"/>
    <col min="23" max="23" width="26.453125" style="63" customWidth="1"/>
    <col min="24" max="24" width="21.54296875" style="63" customWidth="1"/>
    <col min="25" max="16384" width="8.54296875" style="63"/>
  </cols>
  <sheetData>
    <row r="1" spans="2:21" ht="17.5" customHeight="1">
      <c r="B1" s="111" t="s">
        <v>48</v>
      </c>
      <c r="C1" s="112"/>
      <c r="D1" s="113"/>
      <c r="E1" s="120" t="s">
        <v>49</v>
      </c>
      <c r="F1" s="122" t="s">
        <v>275</v>
      </c>
      <c r="G1" s="123"/>
    </row>
    <row r="2" spans="2:21" ht="17.5" customHeight="1">
      <c r="B2" s="114"/>
      <c r="C2" s="115"/>
      <c r="D2" s="116"/>
      <c r="E2" s="121"/>
      <c r="F2" s="124"/>
      <c r="G2" s="125"/>
    </row>
    <row r="3" spans="2:21" ht="17.5" customHeight="1">
      <c r="B3" s="114"/>
      <c r="C3" s="115"/>
      <c r="D3" s="116"/>
      <c r="E3" s="120" t="s">
        <v>50</v>
      </c>
      <c r="F3" s="126" t="s">
        <v>274</v>
      </c>
      <c r="G3" s="127"/>
    </row>
    <row r="4" spans="2:21" ht="17.5" customHeight="1">
      <c r="B4" s="114"/>
      <c r="C4" s="115"/>
      <c r="D4" s="116"/>
      <c r="E4" s="121"/>
      <c r="F4" s="128"/>
      <c r="G4" s="129"/>
    </row>
    <row r="5" spans="2:21" ht="17.5" customHeight="1">
      <c r="B5" s="114"/>
      <c r="C5" s="115"/>
      <c r="D5" s="116"/>
      <c r="E5" s="120" t="s">
        <v>51</v>
      </c>
      <c r="F5" s="130">
        <v>46071</v>
      </c>
      <c r="G5" s="131"/>
    </row>
    <row r="6" spans="2:21" ht="17.5" customHeight="1">
      <c r="B6" s="117"/>
      <c r="C6" s="118"/>
      <c r="D6" s="119"/>
      <c r="E6" s="121"/>
      <c r="F6" s="132"/>
      <c r="G6" s="133"/>
    </row>
    <row r="8" spans="2:21" ht="15.5">
      <c r="B8" s="10"/>
      <c r="C8" s="10"/>
      <c r="D8" s="10"/>
      <c r="E8" s="81" t="s">
        <v>52</v>
      </c>
      <c r="F8" s="59"/>
      <c r="G8" s="10"/>
      <c r="H8" s="10"/>
      <c r="I8" s="10"/>
      <c r="J8" s="11" t="s">
        <v>53</v>
      </c>
      <c r="K8" s="10"/>
      <c r="L8" s="10"/>
      <c r="M8" s="10"/>
      <c r="N8" s="10"/>
      <c r="O8" s="12" t="s">
        <v>54</v>
      </c>
      <c r="P8" s="10"/>
      <c r="Q8" s="10"/>
      <c r="R8" s="10"/>
      <c r="S8" s="11" t="s">
        <v>52</v>
      </c>
      <c r="T8" s="10"/>
      <c r="U8" s="11" t="s">
        <v>55</v>
      </c>
    </row>
    <row r="9" spans="2:21" ht="18.75" customHeight="1">
      <c r="B9" s="134" t="s">
        <v>56</v>
      </c>
      <c r="C9" s="13" t="s">
        <v>57</v>
      </c>
      <c r="D9" s="13" t="s">
        <v>57</v>
      </c>
      <c r="E9" s="82">
        <f>COUNTIFS($J$22:$J$27,C9,$G$22:$G$27,"*"&amp;E8&amp;"*")</f>
        <v>4</v>
      </c>
      <c r="F9" s="59"/>
      <c r="G9" s="120" t="s">
        <v>58</v>
      </c>
      <c r="H9" s="14" t="s">
        <v>57</v>
      </c>
      <c r="I9" s="13" t="s">
        <v>57</v>
      </c>
      <c r="J9" s="14">
        <f>COUNTIFS($J$22:$J$27,H9,$G$22:$G$27,"*"&amp;J8&amp;"*")</f>
        <v>0</v>
      </c>
      <c r="K9" s="10"/>
      <c r="L9" s="120" t="s">
        <v>59</v>
      </c>
      <c r="M9" s="13" t="s">
        <v>57</v>
      </c>
      <c r="N9" s="13" t="s">
        <v>57</v>
      </c>
      <c r="O9" s="14">
        <f>COUNTIFS($J$22:$J$27,M9,$G$22:$G$27,"*"&amp;O8&amp;"*")</f>
        <v>0</v>
      </c>
      <c r="P9" s="10"/>
      <c r="Q9" s="138" t="s">
        <v>60</v>
      </c>
      <c r="R9" s="15" t="str">
        <f>[1]Data!$K$46</f>
        <v>M1: Interface Error</v>
      </c>
      <c r="S9" s="16">
        <f t="shared" ref="S9:S14" si="0">COUNTIFS($C$22:$C$27,R9)</f>
        <v>1</v>
      </c>
      <c r="T9" s="17" t="str">
        <f>[1]Data!$K$52</f>
        <v>UT1: Test Design Specification Extraction Omission</v>
      </c>
      <c r="U9" s="17">
        <f t="shared" ref="U9:U14" si="1">COUNTIFS($C$22:$C$27,T9)</f>
        <v>0</v>
      </c>
    </row>
    <row r="10" spans="2:21" ht="18.75" customHeight="1">
      <c r="B10" s="135"/>
      <c r="C10" s="18" t="s">
        <v>61</v>
      </c>
      <c r="D10" s="18" t="s">
        <v>62</v>
      </c>
      <c r="E10" s="83">
        <f>COUNTIFS($J$22:$J$27,C10,$G$22:$G$27,"*"&amp;E8&amp;"*")</f>
        <v>0</v>
      </c>
      <c r="F10" s="59"/>
      <c r="G10" s="137"/>
      <c r="H10" s="19" t="s">
        <v>62</v>
      </c>
      <c r="I10" s="18" t="s">
        <v>62</v>
      </c>
      <c r="J10" s="14">
        <f>COUNTIFS($J$22:$J$27,H10,$G$22:$G$27,"*"&amp;J8&amp;"*")</f>
        <v>0</v>
      </c>
      <c r="K10" s="10"/>
      <c r="L10" s="137"/>
      <c r="M10" s="18" t="s">
        <v>63</v>
      </c>
      <c r="N10" s="18" t="s">
        <v>62</v>
      </c>
      <c r="O10" s="14">
        <f>COUNTIFS($J$22:$J$27,M10,$G$22:$G$27,"*"&amp;O8&amp;"*")</f>
        <v>0</v>
      </c>
      <c r="P10" s="10"/>
      <c r="Q10" s="139"/>
      <c r="R10" s="15" t="str">
        <f>[1]Data!$K$47</f>
        <v>M2: Logical error</v>
      </c>
      <c r="S10" s="20">
        <f t="shared" si="0"/>
        <v>1</v>
      </c>
      <c r="T10" s="17" t="str">
        <f>[1]Data!$K$53</f>
        <v>UT2: Omission of Test itself</v>
      </c>
      <c r="U10" s="21">
        <f t="shared" si="1"/>
        <v>1</v>
      </c>
    </row>
    <row r="11" spans="2:21" ht="18.75" customHeight="1">
      <c r="B11" s="135"/>
      <c r="C11" s="18" t="s">
        <v>64</v>
      </c>
      <c r="D11" s="18" t="s">
        <v>64</v>
      </c>
      <c r="E11" s="83">
        <f>COUNTIFS($J$22:$J$27,C11,$G$22:$G$27,"*"&amp;E8&amp;"*")</f>
        <v>0</v>
      </c>
      <c r="F11" s="59"/>
      <c r="G11" s="137"/>
      <c r="H11" s="19" t="s">
        <v>64</v>
      </c>
      <c r="I11" s="22" t="s">
        <v>64</v>
      </c>
      <c r="J11" s="23">
        <f>COUNTIFS($J$22:$J$27,H11,$G$22:$G$27,"*"&amp;J8&amp;"*")</f>
        <v>0</v>
      </c>
      <c r="K11" s="10"/>
      <c r="L11" s="137"/>
      <c r="M11" s="22" t="s">
        <v>64</v>
      </c>
      <c r="N11" s="22" t="s">
        <v>64</v>
      </c>
      <c r="O11" s="14">
        <f>COUNTIFS($J$22:$J$27,M11,$G$22:$G$27,"*"&amp;O8&amp;"*")</f>
        <v>0</v>
      </c>
      <c r="P11" s="10"/>
      <c r="Q11" s="139"/>
      <c r="R11" s="15" t="str">
        <f>[1]Data!$K$48</f>
        <v>M3: Data Defination error</v>
      </c>
      <c r="S11" s="21">
        <f t="shared" si="0"/>
        <v>0</v>
      </c>
      <c r="T11" s="17" t="str">
        <f>[1]Data!$K$54</f>
        <v>UT3: Result Confirmation Mistake</v>
      </c>
      <c r="U11" s="21">
        <f t="shared" si="1"/>
        <v>1</v>
      </c>
    </row>
    <row r="12" spans="2:21" ht="18.75" customHeight="1" thickBot="1">
      <c r="B12" s="135"/>
      <c r="C12" s="24" t="s">
        <v>65</v>
      </c>
      <c r="D12" s="24" t="s">
        <v>65</v>
      </c>
      <c r="E12" s="84">
        <f>COUNTIFS($J$22:$J$27,C12,$G$22:$G$27,"*"&amp;E8&amp;"*")</f>
        <v>0</v>
      </c>
      <c r="F12" s="59"/>
      <c r="G12" s="137"/>
      <c r="H12" s="25" t="s">
        <v>65</v>
      </c>
      <c r="I12" s="26" t="s">
        <v>65</v>
      </c>
      <c r="J12" s="27">
        <f>COUNTIFS($J$22:$J$27,H12,$G$22:$G$27,"*"&amp;J8&amp;"*")</f>
        <v>0</v>
      </c>
      <c r="K12" s="10"/>
      <c r="L12" s="137"/>
      <c r="M12" s="26" t="s">
        <v>65</v>
      </c>
      <c r="N12" s="26" t="s">
        <v>65</v>
      </c>
      <c r="O12" s="26">
        <f>COUNTIFS($J$22:$J$27,M12,$G$22:$G$27,"*"&amp;O8&amp;"*")</f>
        <v>0</v>
      </c>
      <c r="P12" s="10"/>
      <c r="Q12" s="139"/>
      <c r="R12" s="15" t="str">
        <f>[1]Data!$K$49</f>
        <v>M4: Table Defination error</v>
      </c>
      <c r="S12" s="21">
        <f t="shared" si="0"/>
        <v>0</v>
      </c>
      <c r="T12" s="17" t="str">
        <f>[1]Data!$K$55</f>
        <v>UT4: Environment Problem</v>
      </c>
      <c r="U12" s="21">
        <f t="shared" si="1"/>
        <v>0</v>
      </c>
    </row>
    <row r="13" spans="2:21" ht="18.75" customHeight="1" thickTop="1">
      <c r="B13" s="135"/>
      <c r="C13" s="28" t="s">
        <v>66</v>
      </c>
      <c r="D13" s="29" t="s">
        <v>67</v>
      </c>
      <c r="E13" s="85">
        <f>COUNTIFS($B$22:$B$27,C13,$G$22:$G$27,D13)</f>
        <v>0</v>
      </c>
      <c r="F13" s="59"/>
      <c r="G13" s="137"/>
      <c r="H13" s="140" t="s">
        <v>66</v>
      </c>
      <c r="I13" s="30" t="s">
        <v>68</v>
      </c>
      <c r="J13" s="30">
        <f>COUNTIFS($B$22:$B$27,H13,$G$22:$G$27,I13)</f>
        <v>0</v>
      </c>
      <c r="K13" s="10"/>
      <c r="L13" s="137"/>
      <c r="M13" s="31" t="s">
        <v>66</v>
      </c>
      <c r="N13" s="30" t="s">
        <v>69</v>
      </c>
      <c r="O13" s="30">
        <f>COUNTIFS($B$22:$B$27,M13,$G$22:$G$27,N13)</f>
        <v>0</v>
      </c>
      <c r="P13" s="10"/>
      <c r="Q13" s="139"/>
      <c r="R13" s="15" t="str">
        <f>[1]Data!$K$50</f>
        <v>M5: Format error</v>
      </c>
      <c r="S13" s="21">
        <f t="shared" si="0"/>
        <v>0</v>
      </c>
      <c r="T13" s="17" t="str">
        <f>[1]Data!$K$56</f>
        <v>UT5: Other</v>
      </c>
      <c r="U13" s="32">
        <f t="shared" si="1"/>
        <v>0</v>
      </c>
    </row>
    <row r="14" spans="2:21" ht="18.75" customHeight="1">
      <c r="B14" s="135"/>
      <c r="C14" s="142" t="s">
        <v>70</v>
      </c>
      <c r="D14" s="29" t="s">
        <v>71</v>
      </c>
      <c r="E14" s="85">
        <f>COUNTIFS($B$22:$B$27,C14,$G$22:$G$27,D14)</f>
        <v>0</v>
      </c>
      <c r="F14" s="59"/>
      <c r="G14" s="137"/>
      <c r="H14" s="141"/>
      <c r="I14" s="29" t="s">
        <v>72</v>
      </c>
      <c r="J14" s="29">
        <f>COUNTIFS($B$22:$B$27,H13,$G$22:$G$27,I14)</f>
        <v>0</v>
      </c>
      <c r="K14" s="10"/>
      <c r="L14" s="137"/>
      <c r="M14" s="33" t="s">
        <v>70</v>
      </c>
      <c r="N14" s="29" t="s">
        <v>69</v>
      </c>
      <c r="O14" s="29">
        <f>COUNTIFS($B$22:$B$27,M14,$G$22:$G$27,N14)</f>
        <v>0</v>
      </c>
      <c r="P14" s="10"/>
      <c r="Q14" s="139"/>
      <c r="R14" s="29" t="str">
        <f>[1]Data!$K$51</f>
        <v>M6: Other</v>
      </c>
      <c r="S14" s="30">
        <f t="shared" si="0"/>
        <v>0</v>
      </c>
      <c r="T14" s="29" t="str">
        <f>[1]Data!$K$57</f>
        <v>IT1: Other</v>
      </c>
      <c r="U14" s="32">
        <f t="shared" si="1"/>
        <v>0</v>
      </c>
    </row>
    <row r="15" spans="2:21" ht="18.75" customHeight="1">
      <c r="B15" s="135"/>
      <c r="C15" s="143"/>
      <c r="D15" s="29" t="s">
        <v>67</v>
      </c>
      <c r="E15" s="85">
        <f>COUNTIFS($B$22:$B$27,C14,$G$22:$G$27,D15)</f>
        <v>0</v>
      </c>
      <c r="F15" s="59"/>
      <c r="G15" s="137"/>
      <c r="H15" s="142" t="s">
        <v>70</v>
      </c>
      <c r="I15" s="29" t="s">
        <v>68</v>
      </c>
      <c r="J15" s="29">
        <f>COUNTIFS($B$22:$B$27,H15,$G$22:$G$27,I15)</f>
        <v>0</v>
      </c>
      <c r="K15" s="10"/>
      <c r="L15" s="121"/>
      <c r="M15" s="29" t="s">
        <v>73</v>
      </c>
      <c r="N15" s="29" t="s">
        <v>74</v>
      </c>
      <c r="O15" s="29">
        <f>COUNTIF($G$22:$G$27,"*"&amp;O8&amp;"*")</f>
        <v>0</v>
      </c>
      <c r="P15" s="10"/>
      <c r="Q15" s="10"/>
      <c r="R15" s="10"/>
      <c r="S15" s="10"/>
      <c r="T15" s="10"/>
      <c r="U15" s="10"/>
    </row>
    <row r="16" spans="2:21" ht="15.5">
      <c r="B16" s="136"/>
      <c r="C16" s="29" t="s">
        <v>75</v>
      </c>
      <c r="D16" s="29" t="s">
        <v>76</v>
      </c>
      <c r="E16" s="85">
        <f>COUNTIF($G$22:$G$27,"*"&amp;E8&amp;"*")</f>
        <v>4</v>
      </c>
      <c r="F16" s="59"/>
      <c r="G16" s="137"/>
      <c r="H16" s="143"/>
      <c r="I16" s="29" t="s">
        <v>72</v>
      </c>
      <c r="J16" s="29">
        <f>COUNTIFS($B$22:$B$27,H15,$G$22:$G$27,I16)</f>
        <v>0</v>
      </c>
      <c r="K16" s="10"/>
      <c r="L16" s="10"/>
      <c r="M16" s="10"/>
      <c r="N16" s="10"/>
      <c r="O16" s="10"/>
      <c r="P16" s="10"/>
      <c r="Q16" s="10"/>
      <c r="R16" s="10"/>
      <c r="S16" s="10"/>
      <c r="T16" s="10"/>
      <c r="U16" s="10"/>
    </row>
    <row r="17" spans="1:24" ht="15.5">
      <c r="B17" s="10"/>
      <c r="C17" s="10"/>
      <c r="D17" s="10"/>
      <c r="E17" s="59"/>
      <c r="F17" s="59"/>
      <c r="G17" s="121"/>
      <c r="H17" s="34" t="s">
        <v>77</v>
      </c>
      <c r="I17" s="29" t="s">
        <v>77</v>
      </c>
      <c r="J17" s="29">
        <f>COUNTIF($G$22:$G$27,"*"&amp;J8&amp;"*")</f>
        <v>0</v>
      </c>
      <c r="K17" s="10"/>
      <c r="L17" s="10"/>
      <c r="M17" s="10"/>
      <c r="N17" s="10"/>
      <c r="O17" s="10"/>
      <c r="P17" s="10"/>
      <c r="Q17" s="10"/>
      <c r="R17" s="10"/>
      <c r="S17" s="35" t="s">
        <v>78</v>
      </c>
      <c r="T17" s="35">
        <f>SUM(S9:S14,U9:U14)</f>
        <v>4</v>
      </c>
      <c r="U17" s="10"/>
    </row>
    <row r="20" spans="1:24" ht="64.400000000000006" customHeight="1">
      <c r="A20" s="64" t="s">
        <v>79</v>
      </c>
      <c r="B20" s="64" t="s">
        <v>80</v>
      </c>
      <c r="C20" s="64" t="s">
        <v>81</v>
      </c>
      <c r="D20" s="64" t="s">
        <v>82</v>
      </c>
      <c r="E20" s="64" t="s">
        <v>83</v>
      </c>
      <c r="F20" s="64" t="s">
        <v>84</v>
      </c>
      <c r="G20" s="64" t="s">
        <v>85</v>
      </c>
      <c r="H20" s="64" t="s">
        <v>86</v>
      </c>
      <c r="I20" s="64" t="s">
        <v>87</v>
      </c>
      <c r="J20" s="64" t="s">
        <v>88</v>
      </c>
      <c r="K20" s="64" t="s">
        <v>89</v>
      </c>
      <c r="L20" s="64" t="s">
        <v>90</v>
      </c>
      <c r="M20" s="64" t="s">
        <v>91</v>
      </c>
      <c r="N20" s="65" t="s">
        <v>92</v>
      </c>
      <c r="O20" s="65" t="s">
        <v>93</v>
      </c>
      <c r="P20" s="65" t="s">
        <v>94</v>
      </c>
      <c r="Q20" s="65" t="s">
        <v>95</v>
      </c>
      <c r="R20" s="65" t="s">
        <v>96</v>
      </c>
      <c r="S20" s="65" t="s">
        <v>97</v>
      </c>
      <c r="T20" s="65" t="s">
        <v>98</v>
      </c>
      <c r="U20" s="66" t="s">
        <v>99</v>
      </c>
      <c r="V20" s="66" t="s">
        <v>100</v>
      </c>
      <c r="W20" s="66" t="s">
        <v>101</v>
      </c>
      <c r="X20" s="67" t="s">
        <v>102</v>
      </c>
    </row>
    <row r="21" spans="1:24" s="78" customFormat="1" ht="99" customHeight="1">
      <c r="A21" s="96">
        <v>2</v>
      </c>
      <c r="B21" s="68" t="s">
        <v>66</v>
      </c>
      <c r="C21" s="68" t="s">
        <v>235</v>
      </c>
      <c r="D21" s="68" t="s">
        <v>103</v>
      </c>
      <c r="E21" s="100" t="s">
        <v>270</v>
      </c>
      <c r="F21" s="75" t="s">
        <v>104</v>
      </c>
      <c r="G21" s="68" t="s">
        <v>71</v>
      </c>
      <c r="H21" s="69" t="s">
        <v>265</v>
      </c>
      <c r="I21" s="70" t="s">
        <v>264</v>
      </c>
      <c r="J21" s="68" t="s">
        <v>57</v>
      </c>
      <c r="K21" s="75" t="s">
        <v>281</v>
      </c>
      <c r="L21" s="103">
        <v>46071</v>
      </c>
      <c r="M21" s="104" t="s">
        <v>273</v>
      </c>
      <c r="N21" s="73" t="s">
        <v>265</v>
      </c>
      <c r="O21" s="74" t="s">
        <v>279</v>
      </c>
      <c r="P21" s="79"/>
      <c r="Q21" s="70"/>
      <c r="R21" s="72"/>
      <c r="S21" s="87"/>
      <c r="T21" s="70"/>
      <c r="U21" s="76"/>
      <c r="V21" s="77"/>
      <c r="W21" s="72"/>
      <c r="X21" s="68"/>
    </row>
    <row r="22" spans="1:24" s="78" customFormat="1" ht="83.5" customHeight="1">
      <c r="A22" s="96">
        <v>7</v>
      </c>
      <c r="B22" s="68" t="s">
        <v>66</v>
      </c>
      <c r="C22" s="68" t="s">
        <v>235</v>
      </c>
      <c r="D22" s="68" t="s">
        <v>103</v>
      </c>
      <c r="E22" s="100" t="s">
        <v>270</v>
      </c>
      <c r="F22" s="75" t="s">
        <v>266</v>
      </c>
      <c r="G22" s="68" t="s">
        <v>71</v>
      </c>
      <c r="H22" s="69" t="s">
        <v>265</v>
      </c>
      <c r="I22" s="70" t="s">
        <v>264</v>
      </c>
      <c r="J22" s="68" t="s">
        <v>57</v>
      </c>
      <c r="K22" s="75" t="s">
        <v>281</v>
      </c>
      <c r="L22" s="103">
        <v>46071</v>
      </c>
      <c r="M22" s="104" t="s">
        <v>273</v>
      </c>
      <c r="N22" s="73" t="s">
        <v>265</v>
      </c>
      <c r="O22" s="74" t="s">
        <v>279</v>
      </c>
      <c r="P22" s="71"/>
      <c r="Q22" s="70"/>
      <c r="R22" s="72"/>
      <c r="S22" s="75"/>
      <c r="T22" s="70"/>
      <c r="U22" s="76"/>
      <c r="V22" s="77"/>
      <c r="W22" s="72"/>
      <c r="X22" s="68"/>
    </row>
    <row r="23" spans="1:24" s="78" customFormat="1" ht="122.5" customHeight="1">
      <c r="A23" s="96">
        <v>26</v>
      </c>
      <c r="B23" s="68" t="s">
        <v>66</v>
      </c>
      <c r="C23" s="88" t="s">
        <v>250</v>
      </c>
      <c r="D23" s="99" t="s">
        <v>258</v>
      </c>
      <c r="E23" s="100" t="s">
        <v>270</v>
      </c>
      <c r="F23" s="75" t="s">
        <v>267</v>
      </c>
      <c r="G23" s="68" t="s">
        <v>71</v>
      </c>
      <c r="H23" s="69" t="s">
        <v>265</v>
      </c>
      <c r="I23" s="70" t="s">
        <v>264</v>
      </c>
      <c r="J23" s="68" t="s">
        <v>57</v>
      </c>
      <c r="K23" s="97" t="s">
        <v>282</v>
      </c>
      <c r="L23" s="103">
        <v>46071</v>
      </c>
      <c r="M23" s="104" t="s">
        <v>273</v>
      </c>
      <c r="N23" s="73" t="s">
        <v>265</v>
      </c>
      <c r="O23" s="98" t="s">
        <v>272</v>
      </c>
      <c r="P23" s="91"/>
      <c r="Q23" s="90"/>
      <c r="R23" s="92"/>
      <c r="S23" s="89"/>
      <c r="T23" s="90"/>
      <c r="U23" s="93"/>
      <c r="V23" s="94"/>
      <c r="W23" s="92"/>
      <c r="X23" s="88"/>
    </row>
    <row r="24" spans="1:24" s="78" customFormat="1" ht="63" customHeight="1">
      <c r="A24" s="96">
        <v>37</v>
      </c>
      <c r="B24" s="68" t="s">
        <v>66</v>
      </c>
      <c r="C24" s="68" t="s">
        <v>248</v>
      </c>
      <c r="D24" s="68" t="s">
        <v>39</v>
      </c>
      <c r="E24" s="100" t="s">
        <v>270</v>
      </c>
      <c r="F24" s="75" t="s">
        <v>269</v>
      </c>
      <c r="G24" s="68" t="s">
        <v>71</v>
      </c>
      <c r="H24" s="69" t="s">
        <v>265</v>
      </c>
      <c r="I24" s="70" t="s">
        <v>264</v>
      </c>
      <c r="J24" s="68" t="s">
        <v>57</v>
      </c>
      <c r="K24" s="97" t="s">
        <v>283</v>
      </c>
      <c r="L24" s="103">
        <v>46071</v>
      </c>
      <c r="M24" s="104" t="s">
        <v>273</v>
      </c>
      <c r="N24" s="73" t="s">
        <v>265</v>
      </c>
      <c r="O24" s="99" t="s">
        <v>271</v>
      </c>
      <c r="P24" s="71"/>
      <c r="Q24" s="70"/>
      <c r="R24" s="72"/>
      <c r="S24" s="75"/>
      <c r="T24" s="70"/>
      <c r="U24" s="76"/>
      <c r="V24" s="77"/>
      <c r="W24" s="72"/>
      <c r="X24" s="68"/>
    </row>
    <row r="25" spans="1:24" s="78" customFormat="1" ht="42" customHeight="1">
      <c r="A25" s="68">
        <v>28</v>
      </c>
      <c r="B25" s="68" t="s">
        <v>66</v>
      </c>
      <c r="C25" s="68" t="s">
        <v>237</v>
      </c>
      <c r="D25" s="68" t="s">
        <v>258</v>
      </c>
      <c r="E25" s="100" t="s">
        <v>270</v>
      </c>
      <c r="F25" s="75" t="s">
        <v>280</v>
      </c>
      <c r="G25" s="68" t="s">
        <v>71</v>
      </c>
      <c r="H25" s="69" t="s">
        <v>265</v>
      </c>
      <c r="I25" s="70" t="s">
        <v>264</v>
      </c>
      <c r="J25" s="68" t="s">
        <v>57</v>
      </c>
      <c r="K25" s="97" t="s">
        <v>284</v>
      </c>
      <c r="L25" s="103">
        <v>46071</v>
      </c>
      <c r="M25" s="104" t="s">
        <v>273</v>
      </c>
      <c r="N25" s="73" t="s">
        <v>265</v>
      </c>
      <c r="O25" s="74"/>
      <c r="P25" s="71"/>
      <c r="Q25" s="70"/>
      <c r="R25" s="72"/>
      <c r="S25" s="75"/>
      <c r="T25" s="70"/>
      <c r="U25" s="76"/>
      <c r="V25" s="77"/>
      <c r="W25" s="72"/>
      <c r="X25" s="68"/>
    </row>
    <row r="26" spans="1:24" s="78" customFormat="1">
      <c r="A26" s="68"/>
      <c r="B26" s="68"/>
      <c r="C26" s="68"/>
      <c r="D26" s="68"/>
      <c r="E26" s="75"/>
      <c r="F26" s="75"/>
      <c r="G26" s="68"/>
      <c r="H26" s="69"/>
      <c r="I26" s="70"/>
      <c r="J26" s="68"/>
      <c r="K26" s="71"/>
      <c r="L26" s="5"/>
      <c r="M26" s="70"/>
      <c r="N26" s="73"/>
      <c r="O26" s="74"/>
      <c r="P26" s="71"/>
      <c r="Q26" s="70"/>
      <c r="R26" s="72"/>
      <c r="S26" s="75"/>
      <c r="T26" s="70"/>
      <c r="U26" s="76"/>
      <c r="V26" s="77"/>
      <c r="W26" s="72"/>
      <c r="X26" s="68"/>
    </row>
    <row r="27" spans="1:24" s="78" customFormat="1">
      <c r="A27" s="68"/>
      <c r="B27" s="68"/>
      <c r="C27" s="68"/>
      <c r="D27" s="68"/>
      <c r="E27" s="75"/>
      <c r="F27" s="75"/>
      <c r="G27" s="68"/>
      <c r="H27" s="69"/>
      <c r="I27" s="70"/>
      <c r="J27" s="68"/>
      <c r="K27" s="71"/>
      <c r="L27" s="5"/>
      <c r="M27" s="70"/>
      <c r="N27" s="73"/>
      <c r="O27" s="74"/>
      <c r="P27" s="71"/>
      <c r="Q27" s="70"/>
      <c r="R27" s="72"/>
      <c r="S27" s="75"/>
      <c r="T27" s="70"/>
      <c r="U27" s="76"/>
      <c r="V27" s="77"/>
      <c r="W27" s="72"/>
      <c r="X27" s="68"/>
    </row>
    <row r="28" spans="1:24" s="78" customFormat="1">
      <c r="A28" s="68"/>
      <c r="B28" s="68"/>
      <c r="C28" s="68"/>
      <c r="D28" s="68"/>
      <c r="E28" s="75"/>
      <c r="F28" s="75"/>
      <c r="G28" s="68"/>
      <c r="H28" s="69"/>
      <c r="I28" s="70"/>
      <c r="J28" s="68"/>
      <c r="K28" s="71"/>
      <c r="L28" s="5"/>
      <c r="M28" s="70"/>
      <c r="N28" s="73"/>
      <c r="O28" s="74"/>
      <c r="P28" s="71"/>
      <c r="Q28" s="70"/>
      <c r="R28" s="72"/>
      <c r="S28" s="75"/>
      <c r="T28" s="70"/>
      <c r="U28" s="76"/>
      <c r="V28" s="77"/>
      <c r="W28" s="72"/>
      <c r="X28" s="68"/>
    </row>
    <row r="29" spans="1:24" s="78" customFormat="1">
      <c r="A29" s="68"/>
      <c r="B29" s="68"/>
      <c r="C29" s="68"/>
      <c r="D29" s="68"/>
      <c r="E29" s="75"/>
      <c r="F29" s="75"/>
      <c r="G29" s="68"/>
      <c r="H29" s="69"/>
      <c r="I29" s="70"/>
      <c r="J29" s="68"/>
      <c r="K29" s="71"/>
      <c r="L29" s="5"/>
      <c r="M29" s="70"/>
      <c r="N29" s="73"/>
      <c r="O29" s="74"/>
      <c r="P29" s="71"/>
      <c r="Q29" s="70"/>
      <c r="R29" s="72"/>
      <c r="S29" s="75"/>
      <c r="T29" s="70"/>
      <c r="U29" s="76"/>
      <c r="V29" s="77"/>
      <c r="W29" s="72"/>
      <c r="X29" s="68"/>
    </row>
    <row r="30" spans="1:24" s="78" customFormat="1">
      <c r="A30" s="68"/>
      <c r="B30" s="68"/>
      <c r="C30" s="68"/>
      <c r="D30" s="68"/>
      <c r="E30" s="75"/>
      <c r="F30" s="75"/>
      <c r="G30" s="68"/>
      <c r="H30" s="69"/>
      <c r="I30" s="70"/>
      <c r="J30" s="68"/>
      <c r="K30" s="71"/>
      <c r="L30" s="5"/>
      <c r="M30" s="70"/>
      <c r="N30" s="73"/>
      <c r="O30" s="74"/>
      <c r="P30" s="71"/>
      <c r="Q30" s="70"/>
      <c r="R30" s="72"/>
      <c r="S30" s="75"/>
      <c r="T30" s="70"/>
      <c r="U30" s="76"/>
      <c r="V30" s="77"/>
      <c r="W30" s="72"/>
      <c r="X30" s="68"/>
    </row>
    <row r="31" spans="1:24" s="78" customFormat="1">
      <c r="A31" s="68"/>
      <c r="B31" s="68"/>
      <c r="C31" s="68"/>
      <c r="D31" s="68"/>
      <c r="E31" s="75"/>
      <c r="F31" s="75"/>
      <c r="G31" s="68"/>
      <c r="H31" s="69"/>
      <c r="I31" s="70"/>
      <c r="J31" s="68"/>
      <c r="K31" s="71"/>
      <c r="L31" s="5"/>
      <c r="M31" s="70"/>
      <c r="N31" s="73"/>
      <c r="O31" s="74"/>
      <c r="P31" s="71"/>
      <c r="Q31" s="70"/>
      <c r="R31" s="72"/>
      <c r="S31" s="75"/>
      <c r="T31" s="70"/>
      <c r="U31" s="76"/>
      <c r="V31" s="77"/>
      <c r="W31" s="72"/>
      <c r="X31" s="68"/>
    </row>
    <row r="32" spans="1:24" s="78" customFormat="1">
      <c r="A32" s="68"/>
      <c r="B32" s="68"/>
      <c r="C32" s="68"/>
      <c r="D32" s="68"/>
      <c r="E32" s="75"/>
      <c r="F32" s="75"/>
      <c r="G32" s="68"/>
      <c r="H32" s="69"/>
      <c r="I32" s="70"/>
      <c r="J32" s="68"/>
      <c r="K32" s="71"/>
      <c r="L32" s="5"/>
      <c r="M32" s="70"/>
      <c r="N32" s="73"/>
      <c r="O32" s="74"/>
      <c r="P32" s="71"/>
      <c r="Q32" s="70"/>
      <c r="R32" s="72"/>
      <c r="S32" s="75"/>
      <c r="T32" s="70"/>
      <c r="U32" s="76"/>
      <c r="V32" s="77"/>
      <c r="W32" s="72"/>
      <c r="X32" s="68"/>
    </row>
    <row r="33" spans="1:24" s="78" customFormat="1">
      <c r="A33" s="68"/>
      <c r="B33" s="68"/>
      <c r="C33" s="68"/>
      <c r="D33" s="68"/>
      <c r="E33" s="75"/>
      <c r="F33" s="75"/>
      <c r="G33" s="68"/>
      <c r="H33" s="69"/>
      <c r="I33" s="70"/>
      <c r="J33" s="68"/>
      <c r="K33" s="71"/>
      <c r="L33" s="5"/>
      <c r="M33" s="70"/>
      <c r="N33" s="73"/>
      <c r="O33" s="74"/>
      <c r="P33" s="71"/>
      <c r="Q33" s="70"/>
      <c r="R33" s="72"/>
      <c r="S33" s="75"/>
      <c r="T33" s="70"/>
      <c r="U33" s="76"/>
      <c r="V33" s="77"/>
      <c r="W33" s="72"/>
      <c r="X33" s="68"/>
    </row>
    <row r="34" spans="1:24" s="78" customFormat="1">
      <c r="A34" s="68"/>
      <c r="B34" s="68"/>
      <c r="C34" s="68"/>
      <c r="D34" s="68"/>
      <c r="E34" s="75"/>
      <c r="F34" s="75"/>
      <c r="G34" s="68"/>
      <c r="H34" s="69"/>
      <c r="I34" s="70"/>
      <c r="J34" s="68"/>
      <c r="K34" s="71"/>
      <c r="L34" s="5"/>
      <c r="M34" s="70"/>
      <c r="N34" s="73"/>
      <c r="O34" s="74"/>
      <c r="P34" s="71"/>
      <c r="Q34" s="70"/>
      <c r="R34" s="72"/>
      <c r="S34" s="75"/>
      <c r="T34" s="70"/>
      <c r="U34" s="76"/>
      <c r="V34" s="77"/>
      <c r="W34" s="72"/>
      <c r="X34" s="68"/>
    </row>
    <row r="35" spans="1:24" s="78" customFormat="1">
      <c r="A35" s="68"/>
      <c r="B35" s="68"/>
      <c r="C35" s="68"/>
      <c r="D35" s="68"/>
      <c r="E35" s="75"/>
      <c r="F35" s="75"/>
      <c r="G35" s="68"/>
      <c r="H35" s="69"/>
      <c r="I35" s="70"/>
      <c r="J35" s="68"/>
      <c r="K35" s="71"/>
      <c r="L35" s="5"/>
      <c r="M35" s="70"/>
      <c r="N35" s="73"/>
      <c r="O35" s="74"/>
      <c r="P35" s="71"/>
      <c r="Q35" s="70"/>
      <c r="R35" s="72"/>
      <c r="S35" s="75"/>
      <c r="T35" s="70"/>
      <c r="U35" s="76"/>
      <c r="V35" s="77"/>
      <c r="W35" s="72"/>
      <c r="X35" s="68"/>
    </row>
    <row r="36" spans="1:24" s="78" customFormat="1">
      <c r="A36" s="68"/>
      <c r="B36" s="68"/>
      <c r="C36" s="68"/>
      <c r="D36" s="68"/>
      <c r="E36" s="75"/>
      <c r="F36" s="75"/>
      <c r="G36" s="68"/>
      <c r="H36" s="69"/>
      <c r="I36" s="70"/>
      <c r="J36" s="68"/>
      <c r="K36" s="71"/>
      <c r="L36" s="5"/>
      <c r="M36" s="70"/>
      <c r="N36" s="73"/>
      <c r="O36" s="74"/>
      <c r="P36" s="71"/>
      <c r="Q36" s="70"/>
      <c r="R36" s="72"/>
      <c r="S36" s="75"/>
      <c r="T36" s="70"/>
      <c r="U36" s="76"/>
      <c r="V36" s="77"/>
      <c r="W36" s="72"/>
      <c r="X36" s="68"/>
    </row>
    <row r="37" spans="1:24" s="78" customFormat="1">
      <c r="A37" s="68"/>
      <c r="B37" s="68"/>
      <c r="C37" s="68"/>
      <c r="D37" s="68"/>
      <c r="E37" s="75"/>
      <c r="F37" s="75"/>
      <c r="G37" s="68"/>
      <c r="H37" s="69"/>
      <c r="I37" s="70"/>
      <c r="J37" s="68"/>
      <c r="K37" s="79"/>
      <c r="L37" s="5"/>
      <c r="M37" s="70"/>
      <c r="N37" s="73"/>
      <c r="O37" s="74"/>
      <c r="P37" s="71"/>
      <c r="Q37" s="70"/>
      <c r="R37" s="72"/>
      <c r="S37" s="75"/>
      <c r="T37" s="70"/>
      <c r="U37" s="76"/>
      <c r="V37" s="77"/>
      <c r="W37" s="72"/>
      <c r="X37" s="68"/>
    </row>
    <row r="38" spans="1:24" s="78" customFormat="1">
      <c r="A38" s="68"/>
      <c r="B38" s="68"/>
      <c r="C38" s="68"/>
      <c r="D38" s="68"/>
      <c r="E38" s="75"/>
      <c r="F38" s="75"/>
      <c r="G38" s="68"/>
      <c r="H38" s="69"/>
      <c r="I38" s="70"/>
      <c r="J38" s="68"/>
      <c r="K38" s="79"/>
      <c r="L38" s="5"/>
      <c r="M38" s="70"/>
      <c r="N38" s="73"/>
      <c r="O38" s="74"/>
      <c r="P38" s="71"/>
      <c r="Q38" s="70"/>
      <c r="R38" s="72"/>
      <c r="S38" s="75"/>
      <c r="T38" s="70"/>
      <c r="U38" s="76"/>
      <c r="V38" s="77"/>
      <c r="W38" s="72"/>
      <c r="X38" s="68"/>
    </row>
    <row r="39" spans="1:24" s="78" customFormat="1">
      <c r="A39" s="68"/>
      <c r="B39" s="68"/>
      <c r="C39" s="68"/>
      <c r="D39" s="68"/>
      <c r="E39" s="75"/>
      <c r="F39" s="75"/>
      <c r="G39" s="68"/>
      <c r="H39" s="69"/>
      <c r="I39" s="70"/>
      <c r="J39" s="68"/>
      <c r="K39" s="71"/>
      <c r="L39" s="5"/>
      <c r="M39" s="70"/>
      <c r="N39" s="73"/>
      <c r="O39" s="74"/>
      <c r="P39" s="71"/>
      <c r="Q39" s="70"/>
      <c r="R39" s="72"/>
      <c r="S39" s="75"/>
      <c r="T39" s="70"/>
      <c r="U39" s="76"/>
      <c r="V39" s="77"/>
      <c r="W39" s="72"/>
      <c r="X39" s="68"/>
    </row>
    <row r="40" spans="1:24" s="78" customFormat="1">
      <c r="A40" s="68"/>
      <c r="B40" s="68"/>
      <c r="C40" s="68"/>
      <c r="D40" s="68"/>
      <c r="E40" s="75"/>
      <c r="F40" s="75"/>
      <c r="G40" s="68"/>
      <c r="H40" s="69"/>
      <c r="I40" s="70"/>
      <c r="J40" s="68"/>
      <c r="K40" s="79"/>
      <c r="L40" s="5"/>
      <c r="M40" s="70"/>
      <c r="N40" s="73"/>
      <c r="O40" s="74"/>
      <c r="P40" s="71"/>
      <c r="Q40" s="70"/>
      <c r="R40" s="72"/>
      <c r="S40" s="75"/>
      <c r="T40" s="70"/>
      <c r="U40" s="76"/>
      <c r="V40" s="77"/>
      <c r="W40" s="72"/>
      <c r="X40" s="68"/>
    </row>
    <row r="41" spans="1:24" s="78" customFormat="1">
      <c r="A41" s="68"/>
      <c r="B41" s="68"/>
      <c r="C41" s="68"/>
      <c r="D41" s="68"/>
      <c r="E41" s="75"/>
      <c r="F41" s="75"/>
      <c r="G41" s="68"/>
      <c r="H41" s="69"/>
      <c r="I41" s="70"/>
      <c r="J41" s="68"/>
      <c r="K41" s="71"/>
      <c r="L41" s="5"/>
      <c r="M41" s="70"/>
      <c r="N41" s="73"/>
      <c r="O41" s="74"/>
      <c r="P41" s="71"/>
      <c r="Q41" s="70"/>
      <c r="R41" s="72"/>
      <c r="S41" s="75"/>
      <c r="T41" s="70"/>
      <c r="U41" s="76"/>
      <c r="V41" s="77"/>
      <c r="W41" s="72"/>
      <c r="X41" s="68"/>
    </row>
    <row r="42" spans="1:24" s="78" customFormat="1">
      <c r="A42" s="68"/>
      <c r="B42" s="68"/>
      <c r="C42" s="68"/>
      <c r="D42" s="68"/>
      <c r="E42" s="75"/>
      <c r="F42" s="75"/>
      <c r="G42" s="68"/>
      <c r="H42" s="69"/>
      <c r="I42" s="70"/>
      <c r="J42" s="68"/>
      <c r="K42" s="71"/>
      <c r="L42" s="5"/>
      <c r="M42" s="70"/>
      <c r="N42" s="73"/>
      <c r="O42" s="74"/>
      <c r="P42" s="71"/>
      <c r="Q42" s="70"/>
      <c r="R42" s="72"/>
      <c r="S42" s="75"/>
      <c r="T42" s="70"/>
      <c r="U42" s="76"/>
      <c r="V42" s="77"/>
      <c r="W42" s="72"/>
      <c r="X42" s="68"/>
    </row>
    <row r="43" spans="1:24" s="78" customFormat="1">
      <c r="A43" s="68"/>
      <c r="B43" s="68"/>
      <c r="C43" s="68"/>
      <c r="D43" s="68"/>
      <c r="E43" s="75"/>
      <c r="F43" s="75"/>
      <c r="G43" s="68"/>
      <c r="H43" s="69"/>
      <c r="I43" s="70"/>
      <c r="J43" s="68"/>
      <c r="K43" s="71"/>
      <c r="L43" s="5"/>
      <c r="M43" s="70"/>
      <c r="N43" s="73"/>
      <c r="O43" s="74"/>
      <c r="P43" s="71"/>
      <c r="Q43" s="70"/>
      <c r="R43" s="72"/>
      <c r="S43" s="75"/>
      <c r="T43" s="70"/>
      <c r="U43" s="76"/>
      <c r="V43" s="77"/>
      <c r="W43" s="72"/>
      <c r="X43" s="68"/>
    </row>
    <row r="44" spans="1:24" s="78" customFormat="1">
      <c r="A44" s="68"/>
      <c r="B44" s="68"/>
      <c r="C44" s="68"/>
      <c r="D44" s="68"/>
      <c r="E44" s="75"/>
      <c r="F44" s="75"/>
      <c r="G44" s="68"/>
      <c r="H44" s="69"/>
      <c r="I44" s="70"/>
      <c r="J44" s="68"/>
      <c r="K44" s="71"/>
      <c r="L44" s="5"/>
      <c r="M44" s="70"/>
      <c r="N44" s="73"/>
      <c r="O44" s="74"/>
      <c r="P44" s="71"/>
      <c r="Q44" s="70"/>
      <c r="R44" s="72"/>
      <c r="S44" s="75"/>
      <c r="T44" s="70"/>
      <c r="U44" s="76"/>
      <c r="V44" s="77"/>
      <c r="W44" s="72"/>
      <c r="X44" s="68"/>
    </row>
    <row r="45" spans="1:24" s="78" customFormat="1">
      <c r="A45" s="68"/>
      <c r="B45" s="68"/>
      <c r="C45" s="68"/>
      <c r="D45" s="80"/>
      <c r="E45" s="75"/>
      <c r="F45" s="75"/>
      <c r="G45" s="68"/>
      <c r="H45" s="69"/>
      <c r="I45" s="70"/>
      <c r="J45" s="68"/>
      <c r="K45" s="71"/>
      <c r="L45" s="5"/>
      <c r="M45" s="70"/>
      <c r="N45" s="73"/>
      <c r="O45" s="74"/>
      <c r="P45" s="71"/>
      <c r="Q45" s="70"/>
      <c r="R45" s="72"/>
      <c r="S45" s="75"/>
      <c r="T45" s="70"/>
      <c r="U45" s="76"/>
      <c r="V45" s="77"/>
      <c r="W45" s="72"/>
      <c r="X45" s="68"/>
    </row>
    <row r="46" spans="1:24" s="78" customFormat="1">
      <c r="A46" s="68"/>
      <c r="B46" s="68"/>
      <c r="C46" s="68"/>
      <c r="D46" s="80"/>
      <c r="E46" s="75"/>
      <c r="F46" s="75"/>
      <c r="G46" s="68"/>
      <c r="H46" s="69"/>
      <c r="I46" s="70"/>
      <c r="J46" s="68"/>
      <c r="K46" s="79"/>
      <c r="L46" s="5"/>
      <c r="M46" s="70"/>
      <c r="N46" s="73"/>
      <c r="O46" s="74"/>
      <c r="P46" s="71"/>
      <c r="Q46" s="70"/>
      <c r="R46" s="72"/>
      <c r="S46" s="75"/>
      <c r="T46" s="70"/>
      <c r="U46" s="76"/>
      <c r="V46" s="77"/>
      <c r="W46" s="72"/>
      <c r="X46" s="68"/>
    </row>
    <row r="47" spans="1:24" s="78" customFormat="1">
      <c r="A47" s="68"/>
      <c r="B47" s="68"/>
      <c r="C47" s="68"/>
      <c r="D47" s="80"/>
      <c r="E47" s="75"/>
      <c r="F47" s="75"/>
      <c r="G47" s="68"/>
      <c r="H47" s="69"/>
      <c r="I47" s="70"/>
      <c r="J47" s="68"/>
      <c r="K47" s="79"/>
      <c r="L47" s="5"/>
      <c r="M47" s="70"/>
      <c r="N47" s="73"/>
      <c r="O47" s="74"/>
      <c r="P47" s="71"/>
      <c r="Q47" s="70"/>
      <c r="R47" s="72"/>
      <c r="S47" s="75"/>
      <c r="T47" s="70"/>
      <c r="U47" s="76"/>
      <c r="V47" s="77"/>
      <c r="W47" s="72"/>
      <c r="X47" s="68"/>
    </row>
    <row r="48" spans="1:24" s="78" customFormat="1">
      <c r="A48" s="68"/>
      <c r="B48" s="68"/>
      <c r="C48" s="68"/>
      <c r="D48" s="68"/>
      <c r="E48" s="75"/>
      <c r="F48" s="75"/>
      <c r="G48" s="68"/>
      <c r="H48" s="69"/>
      <c r="I48" s="70"/>
      <c r="J48" s="68"/>
      <c r="K48" s="71"/>
      <c r="L48" s="5"/>
      <c r="M48" s="70"/>
      <c r="N48" s="73"/>
      <c r="O48" s="74"/>
      <c r="P48" s="71"/>
      <c r="Q48" s="70"/>
      <c r="R48" s="72"/>
      <c r="S48" s="75"/>
      <c r="T48" s="70"/>
      <c r="U48" s="76"/>
      <c r="V48" s="77"/>
      <c r="W48" s="72"/>
      <c r="X48" s="68"/>
    </row>
  </sheetData>
  <autoFilter ref="A20:X20"/>
  <mergeCells count="14">
    <mergeCell ref="B9:B16"/>
    <mergeCell ref="G9:G17"/>
    <mergeCell ref="L9:L15"/>
    <mergeCell ref="Q9:Q14"/>
    <mergeCell ref="H13:H14"/>
    <mergeCell ref="C14:C15"/>
    <mergeCell ref="H15:H16"/>
    <mergeCell ref="B1:D6"/>
    <mergeCell ref="E1:E2"/>
    <mergeCell ref="F1:G2"/>
    <mergeCell ref="E3:E4"/>
    <mergeCell ref="F3:G4"/>
    <mergeCell ref="E5:E6"/>
    <mergeCell ref="F5:G6"/>
  </mergeCells>
  <conditionalFormatting sqref="F21 F39:F40 F43:F44 F48 B24:C48 F24 G26:P48 C23 E26:E48 B21:B23 A21:A48 P22:W48 K23 M24:P24 N23:O24 O25:P25 N22 F26:F37">
    <cfRule type="expression" dxfId="76" priority="430">
      <formula>$J21 ="結了"</formula>
    </cfRule>
  </conditionalFormatting>
  <conditionalFormatting sqref="O21">
    <cfRule type="expression" dxfId="75" priority="429">
      <formula>$J21 ="結了"</formula>
    </cfRule>
  </conditionalFormatting>
  <conditionalFormatting sqref="G21">
    <cfRule type="expression" dxfId="74" priority="427">
      <formula>$J21 ="結了"</formula>
    </cfRule>
  </conditionalFormatting>
  <conditionalFormatting sqref="L21">
    <cfRule type="expression" dxfId="73" priority="426">
      <formula>$J21 ="結了"</formula>
    </cfRule>
  </conditionalFormatting>
  <conditionalFormatting sqref="H21">
    <cfRule type="expression" dxfId="72" priority="423">
      <formula>$J21 ="結了"</formula>
    </cfRule>
  </conditionalFormatting>
  <conditionalFormatting sqref="I21">
    <cfRule type="expression" dxfId="71" priority="422">
      <formula>$J21 ="結了"</formula>
    </cfRule>
  </conditionalFormatting>
  <conditionalFormatting sqref="U21">
    <cfRule type="expression" dxfId="70" priority="419">
      <formula>$J21 ="結了"</formula>
    </cfRule>
  </conditionalFormatting>
  <conditionalFormatting sqref="G21:J21 S21:V21 O21:P21 L21:M21">
    <cfRule type="expression" dxfId="69" priority="420">
      <formula>$J21 ="結了"</formula>
    </cfRule>
  </conditionalFormatting>
  <conditionalFormatting sqref="R21">
    <cfRule type="expression" dxfId="68" priority="338">
      <formula>$J21 ="結了"</formula>
    </cfRule>
  </conditionalFormatting>
  <conditionalFormatting sqref="R21">
    <cfRule type="expression" dxfId="67" priority="339">
      <formula>$J21 ="結了"</formula>
    </cfRule>
  </conditionalFormatting>
  <conditionalFormatting sqref="V21">
    <cfRule type="expression" dxfId="66" priority="389">
      <formula>$J21 ="結了"</formula>
    </cfRule>
  </conditionalFormatting>
  <conditionalFormatting sqref="P21">
    <cfRule type="expression" dxfId="65" priority="373">
      <formula>$J21 ="結了"</formula>
    </cfRule>
  </conditionalFormatting>
  <conditionalFormatting sqref="P21:P48">
    <cfRule type="expression" dxfId="64" priority="372">
      <formula>$B$21="エラー"</formula>
    </cfRule>
  </conditionalFormatting>
  <conditionalFormatting sqref="W21">
    <cfRule type="expression" dxfId="63" priority="257">
      <formula>$J21 ="結了"</formula>
    </cfRule>
  </conditionalFormatting>
  <conditionalFormatting sqref="W21">
    <cfRule type="expression" dxfId="62" priority="256">
      <formula>$J21 ="結了"</formula>
    </cfRule>
  </conditionalFormatting>
  <conditionalFormatting sqref="W21">
    <cfRule type="expression" dxfId="61" priority="255">
      <formula>$J21 ="結了"</formula>
    </cfRule>
  </conditionalFormatting>
  <conditionalFormatting sqref="W21">
    <cfRule type="expression" dxfId="60" priority="254">
      <formula>$J21 ="結了"</formula>
    </cfRule>
  </conditionalFormatting>
  <conditionalFormatting sqref="Q21">
    <cfRule type="expression" dxfId="59" priority="165">
      <formula>$J21 ="結了"</formula>
    </cfRule>
  </conditionalFormatting>
  <conditionalFormatting sqref="K23 M23:P23 M22:N22 P22">
    <cfRule type="expression" dxfId="58" priority="145">
      <formula>$J22 ="結了"</formula>
    </cfRule>
  </conditionalFormatting>
  <conditionalFormatting sqref="C22 F22:F23">
    <cfRule type="expression" dxfId="57" priority="127">
      <formula>$J22 ="結了"</formula>
    </cfRule>
  </conditionalFormatting>
  <conditionalFormatting sqref="C22">
    <cfRule type="expression" dxfId="56" priority="126">
      <formula>$J22 ="結了"</formula>
    </cfRule>
  </conditionalFormatting>
  <conditionalFormatting sqref="F38">
    <cfRule type="expression" dxfId="55" priority="432">
      <formula>#REF! ="結了"</formula>
    </cfRule>
  </conditionalFormatting>
  <conditionalFormatting sqref="F41">
    <cfRule type="expression" dxfId="54" priority="434">
      <formula>#REF! ="結了"</formula>
    </cfRule>
  </conditionalFormatting>
  <conditionalFormatting sqref="F42">
    <cfRule type="expression" dxfId="53" priority="91">
      <formula>#REF! ="結了"</formula>
    </cfRule>
  </conditionalFormatting>
  <conditionalFormatting sqref="C21">
    <cfRule type="expression" dxfId="52" priority="89">
      <formula>$J21 ="結了"</formula>
    </cfRule>
  </conditionalFormatting>
  <conditionalFormatting sqref="C21">
    <cfRule type="expression" dxfId="51" priority="90">
      <formula>$J21 ="結了"</formula>
    </cfRule>
  </conditionalFormatting>
  <conditionalFormatting sqref="H22">
    <cfRule type="expression" dxfId="50" priority="50">
      <formula>$J22 ="結了"</formula>
    </cfRule>
  </conditionalFormatting>
  <conditionalFormatting sqref="G22">
    <cfRule type="expression" dxfId="49" priority="51">
      <formula>$J22 ="結了"</formula>
    </cfRule>
  </conditionalFormatting>
  <conditionalFormatting sqref="I22">
    <cfRule type="expression" dxfId="48" priority="49">
      <formula>$J22 ="結了"</formula>
    </cfRule>
  </conditionalFormatting>
  <conditionalFormatting sqref="G22:J22">
    <cfRule type="expression" dxfId="47" priority="48">
      <formula>$J22 ="結了"</formula>
    </cfRule>
  </conditionalFormatting>
  <conditionalFormatting sqref="G24">
    <cfRule type="expression" dxfId="46" priority="36">
      <formula>$J24 ="結了"</formula>
    </cfRule>
  </conditionalFormatting>
  <conditionalFormatting sqref="H24">
    <cfRule type="expression" dxfId="45" priority="35">
      <formula>$J24 ="結了"</formula>
    </cfRule>
  </conditionalFormatting>
  <conditionalFormatting sqref="G23">
    <cfRule type="expression" dxfId="44" priority="40">
      <formula>$J23 ="結了"</formula>
    </cfRule>
  </conditionalFormatting>
  <conditionalFormatting sqref="H23">
    <cfRule type="expression" dxfId="43" priority="39">
      <formula>$J23 ="結了"</formula>
    </cfRule>
  </conditionalFormatting>
  <conditionalFormatting sqref="I23">
    <cfRule type="expression" dxfId="42" priority="38">
      <formula>$J23 ="結了"</formula>
    </cfRule>
  </conditionalFormatting>
  <conditionalFormatting sqref="G23:J23">
    <cfRule type="expression" dxfId="41" priority="37">
      <formula>$J23 ="結了"</formula>
    </cfRule>
  </conditionalFormatting>
  <conditionalFormatting sqref="I24">
    <cfRule type="expression" dxfId="40" priority="34">
      <formula>$J24 ="結了"</formula>
    </cfRule>
  </conditionalFormatting>
  <conditionalFormatting sqref="G24:J24">
    <cfRule type="expression" dxfId="39" priority="33">
      <formula>$J24 ="結了"</formula>
    </cfRule>
  </conditionalFormatting>
  <conditionalFormatting sqref="L22">
    <cfRule type="expression" dxfId="38" priority="32">
      <formula>$J22 ="結了"</formula>
    </cfRule>
  </conditionalFormatting>
  <conditionalFormatting sqref="L22">
    <cfRule type="expression" dxfId="37" priority="31">
      <formula>$J22 ="結了"</formula>
    </cfRule>
  </conditionalFormatting>
  <conditionalFormatting sqref="L23">
    <cfRule type="expression" dxfId="36" priority="30">
      <formula>$J23 ="結了"</formula>
    </cfRule>
  </conditionalFormatting>
  <conditionalFormatting sqref="L23">
    <cfRule type="expression" dxfId="35" priority="29">
      <formula>$J23 ="結了"</formula>
    </cfRule>
  </conditionalFormatting>
  <conditionalFormatting sqref="L24">
    <cfRule type="expression" dxfId="34" priority="28">
      <formula>$J24 ="結了"</formula>
    </cfRule>
  </conditionalFormatting>
  <conditionalFormatting sqref="L24">
    <cfRule type="expression" dxfId="33" priority="27">
      <formula>$J24 ="結了"</formula>
    </cfRule>
  </conditionalFormatting>
  <conditionalFormatting sqref="N21">
    <cfRule type="expression" dxfId="32" priority="26">
      <formula>$J21 ="結了"</formula>
    </cfRule>
  </conditionalFormatting>
  <conditionalFormatting sqref="N21">
    <cfRule type="expression" dxfId="31" priority="25">
      <formula>$J21 ="結了"</formula>
    </cfRule>
  </conditionalFormatting>
  <conditionalFormatting sqref="G25">
    <cfRule type="expression" dxfId="30" priority="24">
      <formula>$J25 ="結了"</formula>
    </cfRule>
  </conditionalFormatting>
  <conditionalFormatting sqref="H25">
    <cfRule type="expression" dxfId="29" priority="23">
      <formula>$J25 ="結了"</formula>
    </cfRule>
  </conditionalFormatting>
  <conditionalFormatting sqref="I25">
    <cfRule type="expression" dxfId="28" priority="22">
      <formula>$J25 ="結了"</formula>
    </cfRule>
  </conditionalFormatting>
  <conditionalFormatting sqref="G25:J25">
    <cfRule type="expression" dxfId="27" priority="21">
      <formula>$J25 ="結了"</formula>
    </cfRule>
  </conditionalFormatting>
  <conditionalFormatting sqref="M25:N25">
    <cfRule type="expression" dxfId="26" priority="12">
      <formula>$J25 ="結了"</formula>
    </cfRule>
  </conditionalFormatting>
  <conditionalFormatting sqref="L25">
    <cfRule type="expression" dxfId="25" priority="11">
      <formula>$J25 ="結了"</formula>
    </cfRule>
  </conditionalFormatting>
  <conditionalFormatting sqref="L25">
    <cfRule type="expression" dxfId="24" priority="10">
      <formula>$J25 ="結了"</formula>
    </cfRule>
  </conditionalFormatting>
  <conditionalFormatting sqref="O22">
    <cfRule type="expression" dxfId="23" priority="9">
      <formula>$J22 ="結了"</formula>
    </cfRule>
  </conditionalFormatting>
  <conditionalFormatting sqref="O22">
    <cfRule type="expression" dxfId="22" priority="8">
      <formula>$J22 ="結了"</formula>
    </cfRule>
  </conditionalFormatting>
  <conditionalFormatting sqref="K21">
    <cfRule type="expression" dxfId="21" priority="7">
      <formula>$J21 ="結了"</formula>
    </cfRule>
  </conditionalFormatting>
  <conditionalFormatting sqref="K22">
    <cfRule type="expression" dxfId="20" priority="6">
      <formula>$J22 ="結了"</formula>
    </cfRule>
  </conditionalFormatting>
  <conditionalFormatting sqref="K24">
    <cfRule type="expression" dxfId="19" priority="5">
      <formula>$J24 ="結了"</formula>
    </cfRule>
  </conditionalFormatting>
  <conditionalFormatting sqref="K24">
    <cfRule type="expression" dxfId="18" priority="4">
      <formula>$J24 ="結了"</formula>
    </cfRule>
  </conditionalFormatting>
  <conditionalFormatting sqref="K25">
    <cfRule type="expression" dxfId="17" priority="3">
      <formula>$J25 ="結了"</formula>
    </cfRule>
  </conditionalFormatting>
  <conditionalFormatting sqref="K25">
    <cfRule type="expression" dxfId="16" priority="2">
      <formula>$J25 ="結了"</formula>
    </cfRule>
  </conditionalFormatting>
  <conditionalFormatting sqref="F25">
    <cfRule type="expression" dxfId="0" priority="1">
      <formula>$J25 ="結了"</formula>
    </cfRule>
  </conditionalFormatting>
  <dataValidations count="1">
    <dataValidation type="list" allowBlank="1" showInputMessage="1" showErrorMessage="1" sqref="Q49:Q1048576">
      <formula1>$B$24:$B$35</formula1>
    </dataValidation>
  </dataValidations>
  <pageMargins left="0.70866141732283505" right="0.70866141732283505" top="0.74803149606299202" bottom="0.74803149606299202" header="0.31496062992126" footer="0.31496062992126"/>
  <pageSetup paperSize="9" scale="11" orientation="portrait" horizontalDpi="300" verticalDpi="300" r:id="rId1"/>
  <headerFooter>
    <oddHeader>&amp;L&amp;G&amp;R&amp;G
NTT DATA Myanmar Company Limited</oddHeader>
    <oddFooter>&amp;L&amp;"Times New Roman,Regular"&amp;9NDMM_SD1_F-04 (Ver 1.0)&amp;C&amp;"Times New Roman,Regular"&amp;9Effective Date: 10-Jan-2022 &amp;R&amp;"Times New Roman,Regular"&amp;9Page 1 of 4</oddFooter>
  </headerFooter>
  <drawing r:id="rId2"/>
  <legacyDrawing r:id="rId3"/>
  <legacyDrawingHF r:id="rId4"/>
  <extLst>
    <ext xmlns:x14="http://schemas.microsoft.com/office/spreadsheetml/2009/9/main" uri="{CCE6A557-97BC-4b89-ADB6-D9C93CAAB3DF}">
      <x14:dataValidations xmlns:xm="http://schemas.microsoft.com/office/excel/2006/main" count="5">
        <x14:dataValidation type="list" allowBlank="1" showInputMessage="1" showErrorMessage="1">
          <x14:formula1>
            <xm:f>分類観点と分析ポイント!$G$5:$G$30</xm:f>
          </x14:formula1>
          <xm:sqref>Q21:Q48</xm:sqref>
        </x14:dataValidation>
        <x14:dataValidation type="list" allowBlank="1" showInputMessage="1" showErrorMessage="1">
          <x14:formula1>
            <xm:f>data!$B$13:$B$19</xm:f>
          </x14:formula1>
          <xm:sqref>G21:G48</xm:sqref>
        </x14:dataValidation>
        <x14:dataValidation type="list" allowBlank="1" showInputMessage="1" showErrorMessage="1">
          <x14:formula1>
            <xm:f>data!$B$23:$B$26</xm:f>
          </x14:formula1>
          <xm:sqref>J21:J48</xm:sqref>
        </x14:dataValidation>
        <x14:dataValidation type="list" allowBlank="1" showInputMessage="1" showErrorMessage="1">
          <x14:formula1>
            <xm:f>data!$B$9:$B$10</xm:f>
          </x14:formula1>
          <xm:sqref>B21:B48</xm:sqref>
        </x14:dataValidation>
        <x14:dataValidation type="list" allowBlank="1" showInputMessage="1" showErrorMessage="1">
          <x14:formula1>
            <xm:f>data!$B$47:$B$59</xm:f>
          </x14:formula1>
          <xm:sqref>C21:C48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8576"/>
  <sheetViews>
    <sheetView showGridLines="0" view="pageBreakPreview" topLeftCell="A15" zoomScale="80" zoomScaleNormal="100" zoomScaleSheetLayoutView="80" workbookViewId="0">
      <selection activeCell="G13" sqref="G13"/>
    </sheetView>
  </sheetViews>
  <sheetFormatPr defaultColWidth="8.81640625" defaultRowHeight="42" customHeight="1"/>
  <cols>
    <col min="1" max="1" width="8.81640625" style="39"/>
    <col min="2" max="2" width="21.81640625" style="39" customWidth="1"/>
    <col min="3" max="3" width="23.54296875" style="39" customWidth="1"/>
    <col min="4" max="4" width="8.81640625" style="39"/>
    <col min="5" max="5" width="58.54296875" style="39" customWidth="1"/>
    <col min="6" max="6" width="71.1796875" style="39" customWidth="1"/>
    <col min="7" max="7" width="22.1796875" style="39" customWidth="1"/>
    <col min="8" max="16384" width="8.81640625" style="39"/>
  </cols>
  <sheetData>
    <row r="1" spans="1:7" ht="13.5" customHeight="1">
      <c r="A1" s="36" t="s">
        <v>107</v>
      </c>
      <c r="B1" s="37"/>
      <c r="C1" s="37"/>
      <c r="D1" s="37"/>
      <c r="E1" s="37"/>
      <c r="F1" s="38"/>
    </row>
    <row r="2" spans="1:7" ht="13.5" customHeight="1">
      <c r="A2" s="40"/>
      <c r="B2" s="37"/>
      <c r="C2" s="37"/>
      <c r="D2" s="37"/>
      <c r="E2" s="37"/>
      <c r="F2" s="38"/>
    </row>
    <row r="3" spans="1:7" ht="13.5" customHeight="1">
      <c r="A3" s="41" t="s">
        <v>108</v>
      </c>
      <c r="B3" s="37"/>
      <c r="C3" s="37"/>
      <c r="D3" s="37"/>
      <c r="E3" s="37"/>
      <c r="F3" s="38"/>
    </row>
    <row r="4" spans="1:7" ht="42" customHeight="1">
      <c r="A4" s="42" t="s">
        <v>109</v>
      </c>
      <c r="B4" s="43" t="s">
        <v>110</v>
      </c>
      <c r="C4" s="43" t="s">
        <v>111</v>
      </c>
      <c r="D4" s="43" t="s">
        <v>112</v>
      </c>
      <c r="E4" s="43" t="s">
        <v>113</v>
      </c>
      <c r="F4" s="44" t="s">
        <v>114</v>
      </c>
    </row>
    <row r="5" spans="1:7" ht="42" customHeight="1">
      <c r="A5" s="144">
        <v>1</v>
      </c>
      <c r="B5" s="145" t="s">
        <v>115</v>
      </c>
      <c r="C5" s="145" t="s">
        <v>116</v>
      </c>
      <c r="D5" s="45" t="s">
        <v>117</v>
      </c>
      <c r="E5" s="46" t="s">
        <v>118</v>
      </c>
      <c r="F5" s="47" t="s">
        <v>119</v>
      </c>
      <c r="G5" s="39" t="str">
        <f t="shared" ref="G5:G30" si="0">D5 &amp; " " &amp; E5</f>
        <v>1A  記述もれ(記述なし)
No Description</v>
      </c>
    </row>
    <row r="6" spans="1:7" ht="42" customHeight="1">
      <c r="A6" s="144"/>
      <c r="B6" s="144"/>
      <c r="C6" s="144"/>
      <c r="D6" s="45" t="s">
        <v>120</v>
      </c>
      <c r="E6" s="48" t="s">
        <v>121</v>
      </c>
      <c r="F6" s="47" t="s">
        <v>122</v>
      </c>
      <c r="G6" s="39" t="str">
        <f t="shared" si="0"/>
        <v>1B  記述誤り
Leakage of Description</v>
      </c>
    </row>
    <row r="7" spans="1:7" ht="42" customHeight="1">
      <c r="A7" s="144"/>
      <c r="B7" s="144"/>
      <c r="C7" s="144"/>
      <c r="D7" s="45" t="s">
        <v>123</v>
      </c>
      <c r="E7" s="48" t="s">
        <v>124</v>
      </c>
      <c r="F7" s="47" t="s">
        <v>125</v>
      </c>
      <c r="G7" s="39" t="str">
        <f t="shared" si="0"/>
        <v>1C  不明確(曖昧)
Un Clear</v>
      </c>
    </row>
    <row r="8" spans="1:7" ht="42" customHeight="1">
      <c r="A8" s="144"/>
      <c r="B8" s="144"/>
      <c r="C8" s="144"/>
      <c r="D8" s="45" t="s">
        <v>126</v>
      </c>
      <c r="E8" s="47" t="s">
        <v>127</v>
      </c>
      <c r="F8" s="47" t="s">
        <v>128</v>
      </c>
      <c r="G8" s="39" t="str">
        <f t="shared" si="0"/>
        <v>1D 標準違反
Standard Violation</v>
      </c>
    </row>
    <row r="9" spans="1:7" ht="42" customHeight="1">
      <c r="A9" s="144"/>
      <c r="B9" s="144"/>
      <c r="C9" s="144"/>
      <c r="D9" s="45" t="s">
        <v>129</v>
      </c>
      <c r="E9" s="47" t="s">
        <v>130</v>
      </c>
      <c r="F9" s="47" t="s">
        <v>131</v>
      </c>
      <c r="G9" s="39" t="str">
        <f t="shared" si="0"/>
        <v>1E  ドキュメント修正漏れ
Leakage in correction of document</v>
      </c>
    </row>
    <row r="10" spans="1:7" ht="42" customHeight="1">
      <c r="A10" s="144"/>
      <c r="B10" s="144"/>
      <c r="C10" s="144"/>
      <c r="D10" s="45" t="s">
        <v>132</v>
      </c>
      <c r="E10" s="49" t="s">
        <v>133</v>
      </c>
      <c r="F10" s="47" t="s">
        <v>134</v>
      </c>
      <c r="G10" s="39" t="str">
        <f t="shared" si="0"/>
        <v>1F ドキュメント間不整合
Mismatch between document</v>
      </c>
    </row>
    <row r="11" spans="1:7" ht="42" customHeight="1">
      <c r="A11" s="144"/>
      <c r="B11" s="144"/>
      <c r="C11" s="144"/>
      <c r="D11" s="45" t="s">
        <v>135</v>
      </c>
      <c r="E11" s="47" t="s">
        <v>136</v>
      </c>
      <c r="F11" s="47" t="s">
        <v>137</v>
      </c>
      <c r="G11" s="39" t="str">
        <f t="shared" si="0"/>
        <v>1G その他
Other</v>
      </c>
    </row>
    <row r="12" spans="1:7" ht="42" customHeight="1">
      <c r="A12" s="144">
        <v>2</v>
      </c>
      <c r="B12" s="145" t="s">
        <v>138</v>
      </c>
      <c r="C12" s="145" t="s">
        <v>139</v>
      </c>
      <c r="D12" s="45" t="s">
        <v>140</v>
      </c>
      <c r="E12" s="46" t="s">
        <v>141</v>
      </c>
      <c r="F12" s="47" t="s">
        <v>142</v>
      </c>
      <c r="G12" s="39" t="str">
        <f t="shared" si="0"/>
        <v>2A 仕様の見落とし
Oversight of Specification</v>
      </c>
    </row>
    <row r="13" spans="1:7" ht="46.5">
      <c r="A13" s="144"/>
      <c r="B13" s="144"/>
      <c r="C13" s="144"/>
      <c r="D13" s="45" t="s">
        <v>143</v>
      </c>
      <c r="E13" s="46" t="s">
        <v>144</v>
      </c>
      <c r="F13" s="47" t="s">
        <v>145</v>
      </c>
      <c r="G13" s="39" t="str">
        <f t="shared" si="0"/>
        <v>2B 仕様の認識誤り
Insufficient understanding of specifications
(Lack of understanding in specification)</v>
      </c>
    </row>
    <row r="14" spans="1:7" ht="42" customHeight="1">
      <c r="A14" s="144"/>
      <c r="B14" s="144"/>
      <c r="C14" s="144"/>
      <c r="D14" s="45" t="s">
        <v>146</v>
      </c>
      <c r="E14" s="47" t="s">
        <v>147</v>
      </c>
      <c r="F14" s="47" t="s">
        <v>148</v>
      </c>
      <c r="G14" s="39" t="str">
        <f t="shared" si="0"/>
        <v>2C 仕様からの展開における検討不足
Leakage of studying in specification</v>
      </c>
    </row>
    <row r="15" spans="1:7" ht="42" customHeight="1">
      <c r="A15" s="144"/>
      <c r="B15" s="144"/>
      <c r="C15" s="144"/>
      <c r="D15" s="45" t="s">
        <v>149</v>
      </c>
      <c r="E15" s="47" t="s">
        <v>136</v>
      </c>
      <c r="F15" s="47" t="s">
        <v>137</v>
      </c>
      <c r="G15" s="39" t="str">
        <f t="shared" si="0"/>
        <v>2D その他
Other</v>
      </c>
    </row>
    <row r="16" spans="1:7" ht="42" customHeight="1">
      <c r="A16" s="144">
        <v>3</v>
      </c>
      <c r="B16" s="145" t="s">
        <v>150</v>
      </c>
      <c r="C16" s="145" t="s">
        <v>151</v>
      </c>
      <c r="D16" s="45" t="s">
        <v>152</v>
      </c>
      <c r="E16" s="48" t="s">
        <v>153</v>
      </c>
      <c r="F16" s="47" t="s">
        <v>154</v>
      </c>
      <c r="G16" s="39" t="str">
        <f t="shared" si="0"/>
        <v>3A  言語用法の知識不足
Lack of knowledge in language usage</v>
      </c>
    </row>
    <row r="17" spans="1:7" ht="42" customHeight="1">
      <c r="A17" s="144"/>
      <c r="B17" s="144"/>
      <c r="C17" s="144"/>
      <c r="D17" s="45" t="s">
        <v>155</v>
      </c>
      <c r="E17" s="50" t="s">
        <v>156</v>
      </c>
      <c r="F17" s="47" t="s">
        <v>157</v>
      </c>
      <c r="G17" s="39" t="str">
        <f t="shared" si="0"/>
        <v>3B  周知連絡の不徹底</v>
      </c>
    </row>
    <row r="18" spans="1:7" ht="42" customHeight="1">
      <c r="A18" s="144"/>
      <c r="B18" s="144"/>
      <c r="C18" s="144"/>
      <c r="D18" s="45" t="s">
        <v>158</v>
      </c>
      <c r="E18" s="50" t="s">
        <v>159</v>
      </c>
      <c r="F18" s="47" t="s">
        <v>160</v>
      </c>
      <c r="G18" s="39" t="str">
        <f t="shared" si="0"/>
        <v>3C  標準違反</v>
      </c>
    </row>
    <row r="19" spans="1:7" ht="42" customHeight="1">
      <c r="A19" s="144"/>
      <c r="B19" s="144"/>
      <c r="C19" s="144"/>
      <c r="D19" s="45" t="s">
        <v>161</v>
      </c>
      <c r="E19" s="47" t="s">
        <v>162</v>
      </c>
      <c r="F19" s="47" t="s">
        <v>163</v>
      </c>
      <c r="G19" s="39" t="str">
        <f t="shared" si="0"/>
        <v>3D 再利用時のチェックもれ
Leakage in checking of re-using time</v>
      </c>
    </row>
    <row r="20" spans="1:7" ht="42" customHeight="1">
      <c r="A20" s="144"/>
      <c r="B20" s="144"/>
      <c r="C20" s="144"/>
      <c r="D20" s="45" t="s">
        <v>164</v>
      </c>
      <c r="E20" s="47" t="s">
        <v>165</v>
      </c>
      <c r="F20" s="47" t="s">
        <v>166</v>
      </c>
      <c r="G20" s="39" t="str">
        <f t="shared" si="0"/>
        <v>3E  修正時のチェックもれ
Leakage in checking of correction time</v>
      </c>
    </row>
    <row r="21" spans="1:7" ht="42" customHeight="1">
      <c r="A21" s="144"/>
      <c r="B21" s="144"/>
      <c r="C21" s="144"/>
      <c r="D21" s="45" t="s">
        <v>167</v>
      </c>
      <c r="E21" s="47" t="s">
        <v>168</v>
      </c>
      <c r="F21" s="47" t="s">
        <v>169</v>
      </c>
      <c r="G21" s="39" t="str">
        <f t="shared" si="0"/>
        <v>3F 単なる凡ミス
Simple Mistake</v>
      </c>
    </row>
    <row r="22" spans="1:7" ht="42" customHeight="1">
      <c r="A22" s="144"/>
      <c r="B22" s="144"/>
      <c r="C22" s="144"/>
      <c r="D22" s="45" t="s">
        <v>170</v>
      </c>
      <c r="E22" s="47" t="s">
        <v>136</v>
      </c>
      <c r="F22" s="47" t="s">
        <v>137</v>
      </c>
      <c r="G22" s="39" t="str">
        <f t="shared" si="0"/>
        <v>3G その他
Other</v>
      </c>
    </row>
    <row r="23" spans="1:7" ht="42" customHeight="1">
      <c r="A23" s="144" t="s">
        <v>171</v>
      </c>
      <c r="B23" s="145" t="s">
        <v>172</v>
      </c>
      <c r="C23" s="145"/>
      <c r="D23" s="45" t="s">
        <v>173</v>
      </c>
      <c r="E23" s="46" t="s">
        <v>174</v>
      </c>
      <c r="F23" s="47" t="s">
        <v>175</v>
      </c>
      <c r="G23" s="39" t="str">
        <f t="shared" si="0"/>
        <v>4A  誤操作
Operation Leakage</v>
      </c>
    </row>
    <row r="24" spans="1:7" ht="42" customHeight="1">
      <c r="A24" s="144"/>
      <c r="B24" s="144"/>
      <c r="C24" s="144"/>
      <c r="D24" s="45" t="s">
        <v>176</v>
      </c>
      <c r="E24" s="46" t="s">
        <v>177</v>
      </c>
      <c r="F24" s="47" t="s">
        <v>178</v>
      </c>
      <c r="G24" s="39" t="str">
        <f t="shared" si="0"/>
        <v>4B  再現せず
Not Happening</v>
      </c>
    </row>
    <row r="25" spans="1:7" ht="42" customHeight="1">
      <c r="A25" s="144"/>
      <c r="B25" s="144"/>
      <c r="C25" s="144"/>
      <c r="D25" s="45" t="s">
        <v>179</v>
      </c>
      <c r="E25" s="46" t="s">
        <v>180</v>
      </c>
      <c r="F25" s="47" t="s">
        <v>181</v>
      </c>
      <c r="G25" s="39" t="str">
        <f t="shared" si="0"/>
        <v>4C  指摘ミス
Point out Mistake</v>
      </c>
    </row>
    <row r="26" spans="1:7" ht="42" customHeight="1">
      <c r="A26" s="144"/>
      <c r="B26" s="144"/>
      <c r="C26" s="144"/>
      <c r="D26" s="45" t="s">
        <v>182</v>
      </c>
      <c r="E26" s="47" t="s">
        <v>183</v>
      </c>
      <c r="F26" s="47" t="s">
        <v>184</v>
      </c>
      <c r="G26" s="39" t="str">
        <f t="shared" si="0"/>
        <v>4D 重複
Repetition</v>
      </c>
    </row>
    <row r="27" spans="1:7" ht="70.5" customHeight="1">
      <c r="A27" s="144"/>
      <c r="B27" s="144"/>
      <c r="C27" s="144"/>
      <c r="D27" s="45" t="s">
        <v>185</v>
      </c>
      <c r="E27" s="47" t="s">
        <v>186</v>
      </c>
      <c r="F27" s="47" t="s">
        <v>187</v>
      </c>
      <c r="G27" s="39" t="str">
        <f t="shared" si="0"/>
        <v>4E  ドキュメント不良
Document Failure</v>
      </c>
    </row>
    <row r="28" spans="1:7" ht="42" customHeight="1">
      <c r="A28" s="144"/>
      <c r="B28" s="144"/>
      <c r="C28" s="144"/>
      <c r="D28" s="45" t="s">
        <v>188</v>
      </c>
      <c r="E28" s="47" t="s">
        <v>189</v>
      </c>
      <c r="F28" s="47" t="s">
        <v>190</v>
      </c>
      <c r="G28" s="39" t="str">
        <f t="shared" si="0"/>
        <v>4F 潜在バグ（旧バージョン）
Bug of old version</v>
      </c>
    </row>
    <row r="29" spans="1:7" ht="42" customHeight="1">
      <c r="A29" s="144"/>
      <c r="B29" s="144"/>
      <c r="C29" s="144"/>
      <c r="D29" s="45" t="s">
        <v>191</v>
      </c>
      <c r="E29" s="47" t="s">
        <v>192</v>
      </c>
      <c r="F29" s="47" t="s">
        <v>193</v>
      </c>
      <c r="G29" s="39" t="str">
        <f t="shared" si="0"/>
        <v>4G パッケージ、ツール
Package, Tool</v>
      </c>
    </row>
    <row r="30" spans="1:7" ht="42" customHeight="1">
      <c r="A30" s="144"/>
      <c r="B30" s="144"/>
      <c r="C30" s="144"/>
      <c r="D30" s="45" t="s">
        <v>194</v>
      </c>
      <c r="E30" s="47" t="s">
        <v>136</v>
      </c>
      <c r="F30" s="47" t="s">
        <v>195</v>
      </c>
      <c r="G30" s="39" t="str">
        <f t="shared" si="0"/>
        <v>4H その他
Other</v>
      </c>
    </row>
    <row r="1048576" spans="7:7" ht="42" customHeight="1">
      <c r="G1048576" s="39" t="str">
        <f>D1048576 &amp; " " &amp; E1048576</f>
        <v xml:space="preserve"> </v>
      </c>
    </row>
  </sheetData>
  <mergeCells count="12">
    <mergeCell ref="A16:A22"/>
    <mergeCell ref="B16:B22"/>
    <mergeCell ref="C16:C22"/>
    <mergeCell ref="A23:A30"/>
    <mergeCell ref="B23:B30"/>
    <mergeCell ref="C23:C30"/>
    <mergeCell ref="A5:A11"/>
    <mergeCell ref="B5:B11"/>
    <mergeCell ref="C5:C11"/>
    <mergeCell ref="A12:A15"/>
    <mergeCell ref="B12:B15"/>
    <mergeCell ref="C12:C15"/>
  </mergeCells>
  <pageMargins left="0.7" right="0.7" top="0.87016666666666664" bottom="0.75" header="0.3" footer="0.3"/>
  <pageSetup scale="46" orientation="portrait" r:id="rId1"/>
  <headerFooter>
    <oddHeader>&amp;L&amp;G&amp;R&amp;G
NTT DATA Myanmar Company Limited</oddHeader>
    <oddFooter>&amp;L&amp;"Times New Roman,Regular"&amp;9NDMM_SD1_F-04 (Ver 1.0)&amp;C&amp;"Times New Roman,Regular"&amp;9Effective Date: 10/01/2022&amp;R&amp;"Times New Roman,Regular"&amp;9Page 3 of 4</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showGridLines="0" view="pageBreakPreview" topLeftCell="A44" zoomScale="80" zoomScaleNormal="100" zoomScaleSheetLayoutView="80" workbookViewId="0">
      <selection activeCell="C55" sqref="C55"/>
    </sheetView>
  </sheetViews>
  <sheetFormatPr defaultColWidth="9.1796875" defaultRowHeight="15.5"/>
  <cols>
    <col min="1" max="1" width="51.26953125" style="9" customWidth="1"/>
    <col min="2" max="2" width="10.1796875" style="9" customWidth="1"/>
    <col min="3" max="3" width="9.1796875" style="9" customWidth="1"/>
    <col min="4" max="6" width="9.1796875" style="9"/>
    <col min="7" max="8" width="9.1796875" style="9" customWidth="1"/>
    <col min="9" max="16384" width="9.1796875" style="9"/>
  </cols>
  <sheetData>
    <row r="1" spans="1:11" hidden="1">
      <c r="B1" s="51" t="s">
        <v>196</v>
      </c>
      <c r="I1" s="51"/>
    </row>
    <row r="2" spans="1:11" hidden="1">
      <c r="A2" s="9" t="s">
        <v>197</v>
      </c>
      <c r="B2" s="9" t="s">
        <v>198</v>
      </c>
    </row>
    <row r="3" spans="1:11" hidden="1"/>
    <row r="4" spans="1:11" hidden="1">
      <c r="A4" s="9" t="s">
        <v>199</v>
      </c>
      <c r="B4" s="9" t="s">
        <v>200</v>
      </c>
    </row>
    <row r="5" spans="1:11" hidden="1"/>
    <row r="6" spans="1:11">
      <c r="A6" s="52"/>
      <c r="B6" s="53"/>
      <c r="C6" s="53"/>
      <c r="D6" s="53"/>
      <c r="E6" s="53"/>
      <c r="F6" s="53"/>
      <c r="G6" s="53"/>
      <c r="H6" s="53"/>
      <c r="I6" s="53"/>
      <c r="J6" s="53"/>
      <c r="K6" s="54"/>
    </row>
    <row r="7" spans="1:11">
      <c r="A7" s="55"/>
      <c r="B7" s="56" t="s">
        <v>201</v>
      </c>
      <c r="K7" s="57"/>
    </row>
    <row r="8" spans="1:11">
      <c r="A8" s="55"/>
      <c r="K8" s="57"/>
    </row>
    <row r="9" spans="1:11">
      <c r="A9" s="55"/>
      <c r="B9" s="9" t="s">
        <v>66</v>
      </c>
      <c r="K9" s="57"/>
    </row>
    <row r="10" spans="1:11">
      <c r="A10" s="55"/>
      <c r="B10" s="9" t="s">
        <v>70</v>
      </c>
      <c r="K10" s="57"/>
    </row>
    <row r="11" spans="1:11">
      <c r="A11" s="55"/>
      <c r="K11" s="57"/>
    </row>
    <row r="12" spans="1:11">
      <c r="A12" s="55"/>
      <c r="B12" s="56" t="s">
        <v>202</v>
      </c>
      <c r="K12" s="57"/>
    </row>
    <row r="13" spans="1:11">
      <c r="A13" s="55"/>
      <c r="B13" s="9" t="s">
        <v>203</v>
      </c>
      <c r="K13" s="57"/>
    </row>
    <row r="14" spans="1:11">
      <c r="A14" s="55"/>
      <c r="B14" s="9" t="s">
        <v>204</v>
      </c>
      <c r="K14" s="57"/>
    </row>
    <row r="15" spans="1:11">
      <c r="A15" s="55"/>
      <c r="B15" s="9" t="s">
        <v>71</v>
      </c>
      <c r="K15" s="57"/>
    </row>
    <row r="16" spans="1:11">
      <c r="A16" s="55"/>
      <c r="B16" s="9" t="s">
        <v>67</v>
      </c>
      <c r="K16" s="57"/>
    </row>
    <row r="17" spans="1:11">
      <c r="A17" s="55"/>
      <c r="B17" s="9" t="s">
        <v>205</v>
      </c>
      <c r="K17" s="57"/>
    </row>
    <row r="18" spans="1:11">
      <c r="A18" s="55"/>
      <c r="B18" s="9" t="s">
        <v>206</v>
      </c>
      <c r="K18" s="57"/>
    </row>
    <row r="19" spans="1:11">
      <c r="A19" s="55"/>
      <c r="B19" s="9" t="s">
        <v>69</v>
      </c>
      <c r="K19" s="57"/>
    </row>
    <row r="20" spans="1:11">
      <c r="A20" s="55"/>
      <c r="K20" s="57"/>
    </row>
    <row r="21" spans="1:11">
      <c r="A21" s="55"/>
      <c r="K21" s="57"/>
    </row>
    <row r="22" spans="1:11">
      <c r="A22" s="55"/>
      <c r="B22" s="51" t="s">
        <v>207</v>
      </c>
      <c r="K22" s="57"/>
    </row>
    <row r="23" spans="1:11">
      <c r="A23" s="55"/>
      <c r="B23" s="9" t="s">
        <v>57</v>
      </c>
      <c r="K23" s="57"/>
    </row>
    <row r="24" spans="1:11">
      <c r="A24" s="55"/>
      <c r="B24" s="9" t="s">
        <v>62</v>
      </c>
      <c r="K24" s="57"/>
    </row>
    <row r="25" spans="1:11">
      <c r="A25" s="55"/>
      <c r="B25" s="9" t="s">
        <v>64</v>
      </c>
      <c r="K25" s="57"/>
    </row>
    <row r="26" spans="1:11">
      <c r="A26" s="55"/>
      <c r="B26" s="9" t="s">
        <v>65</v>
      </c>
      <c r="K26" s="57"/>
    </row>
    <row r="27" spans="1:11">
      <c r="A27" s="55"/>
      <c r="K27" s="57"/>
    </row>
    <row r="28" spans="1:11">
      <c r="A28" s="58" t="s">
        <v>208</v>
      </c>
      <c r="B28" s="9" t="s">
        <v>209</v>
      </c>
      <c r="K28" s="57"/>
    </row>
    <row r="29" spans="1:11">
      <c r="A29" s="55"/>
      <c r="B29" s="9" t="s">
        <v>210</v>
      </c>
      <c r="K29" s="57"/>
    </row>
    <row r="30" spans="1:11" ht="31">
      <c r="A30" s="55"/>
      <c r="B30" s="59" t="s">
        <v>211</v>
      </c>
      <c r="K30" s="57"/>
    </row>
    <row r="31" spans="1:11">
      <c r="A31" s="55"/>
      <c r="B31" s="9" t="s">
        <v>212</v>
      </c>
      <c r="K31" s="57"/>
    </row>
    <row r="32" spans="1:11">
      <c r="A32" s="55"/>
      <c r="B32" s="9" t="s">
        <v>213</v>
      </c>
      <c r="K32" s="57"/>
    </row>
    <row r="33" spans="1:11">
      <c r="A33" s="55"/>
      <c r="B33" s="9" t="s">
        <v>214</v>
      </c>
      <c r="K33" s="57"/>
    </row>
    <row r="34" spans="1:11">
      <c r="A34" s="55"/>
      <c r="B34" s="9" t="s">
        <v>215</v>
      </c>
      <c r="K34" s="57"/>
    </row>
    <row r="35" spans="1:11">
      <c r="A35" s="56" t="s">
        <v>216</v>
      </c>
      <c r="B35" s="9" t="s">
        <v>217</v>
      </c>
      <c r="K35" s="57"/>
    </row>
    <row r="36" spans="1:11">
      <c r="A36" s="55"/>
      <c r="B36" s="9" t="s">
        <v>218</v>
      </c>
      <c r="K36" s="57"/>
    </row>
    <row r="37" spans="1:11">
      <c r="A37" s="55"/>
      <c r="B37" s="9" t="s">
        <v>219</v>
      </c>
      <c r="K37" s="57"/>
    </row>
    <row r="38" spans="1:11">
      <c r="A38" s="55"/>
      <c r="B38" s="9" t="s">
        <v>220</v>
      </c>
      <c r="K38" s="57"/>
    </row>
    <row r="39" spans="1:11">
      <c r="A39" s="56" t="s">
        <v>221</v>
      </c>
      <c r="B39" s="9" t="s">
        <v>222</v>
      </c>
      <c r="K39" s="57"/>
    </row>
    <row r="40" spans="1:11">
      <c r="A40" s="55"/>
      <c r="B40" s="9" t="s">
        <v>223</v>
      </c>
      <c r="K40" s="57"/>
    </row>
    <row r="41" spans="1:11">
      <c r="A41" s="55"/>
      <c r="B41" s="9" t="s">
        <v>224</v>
      </c>
      <c r="K41" s="57"/>
    </row>
    <row r="42" spans="1:11">
      <c r="A42" s="55"/>
      <c r="B42" s="9" t="s">
        <v>225</v>
      </c>
      <c r="K42" s="57"/>
    </row>
    <row r="43" spans="1:11">
      <c r="A43" s="55"/>
      <c r="B43" s="9" t="s">
        <v>226</v>
      </c>
      <c r="K43" s="57"/>
    </row>
    <row r="44" spans="1:11">
      <c r="A44" s="55"/>
      <c r="B44" s="9" t="s">
        <v>227</v>
      </c>
      <c r="K44" s="57"/>
    </row>
    <row r="45" spans="1:11">
      <c r="A45" s="55"/>
      <c r="B45" s="9" t="s">
        <v>228</v>
      </c>
      <c r="K45" s="57"/>
    </row>
    <row r="46" spans="1:11">
      <c r="A46" s="55"/>
      <c r="K46" s="57"/>
    </row>
    <row r="47" spans="1:11">
      <c r="A47" s="56" t="s">
        <v>229</v>
      </c>
      <c r="B47" s="9" t="s">
        <v>230</v>
      </c>
      <c r="K47" s="57"/>
    </row>
    <row r="48" spans="1:11">
      <c r="A48" s="55"/>
      <c r="B48" s="9" t="s">
        <v>231</v>
      </c>
      <c r="K48" s="57"/>
    </row>
    <row r="49" spans="1:11">
      <c r="B49" s="9" t="s">
        <v>232</v>
      </c>
      <c r="K49" s="57"/>
    </row>
    <row r="50" spans="1:11">
      <c r="B50" s="9" t="s">
        <v>233</v>
      </c>
      <c r="K50" s="57"/>
    </row>
    <row r="51" spans="1:11">
      <c r="A51" s="56" t="s">
        <v>234</v>
      </c>
      <c r="B51" s="9" t="s">
        <v>235</v>
      </c>
      <c r="F51" s="9" t="s">
        <v>236</v>
      </c>
      <c r="K51" s="57"/>
    </row>
    <row r="52" spans="1:11">
      <c r="A52" s="55"/>
      <c r="B52" s="9" t="s">
        <v>237</v>
      </c>
      <c r="F52" s="9" t="s">
        <v>238</v>
      </c>
      <c r="K52" s="57"/>
    </row>
    <row r="53" spans="1:11">
      <c r="A53" s="55"/>
      <c r="B53" s="9" t="s">
        <v>239</v>
      </c>
      <c r="F53" s="9" t="s">
        <v>240</v>
      </c>
      <c r="K53" s="57"/>
    </row>
    <row r="54" spans="1:11">
      <c r="A54" s="55"/>
      <c r="B54" s="9" t="s">
        <v>241</v>
      </c>
      <c r="F54" s="9" t="s">
        <v>242</v>
      </c>
      <c r="K54" s="57"/>
    </row>
    <row r="55" spans="1:11">
      <c r="A55" s="55"/>
      <c r="B55" s="9" t="s">
        <v>243</v>
      </c>
      <c r="F55" s="9" t="s">
        <v>244</v>
      </c>
      <c r="K55" s="57"/>
    </row>
    <row r="56" spans="1:11">
      <c r="A56" s="56" t="s">
        <v>245</v>
      </c>
      <c r="B56" s="9" t="s">
        <v>246</v>
      </c>
      <c r="F56" s="9" t="s">
        <v>247</v>
      </c>
      <c r="K56" s="57"/>
    </row>
    <row r="57" spans="1:11">
      <c r="A57" s="55"/>
      <c r="B57" s="9" t="s">
        <v>248</v>
      </c>
      <c r="F57" s="9" t="s">
        <v>249</v>
      </c>
      <c r="K57" s="57"/>
    </row>
    <row r="58" spans="1:11">
      <c r="A58" s="55"/>
      <c r="B58" s="9" t="s">
        <v>250</v>
      </c>
      <c r="F58" s="9" t="s">
        <v>251</v>
      </c>
      <c r="K58" s="57"/>
    </row>
    <row r="59" spans="1:11">
      <c r="A59" s="55"/>
      <c r="B59" s="9" t="s">
        <v>252</v>
      </c>
      <c r="F59" s="9" t="s">
        <v>253</v>
      </c>
      <c r="K59" s="57"/>
    </row>
    <row r="60" spans="1:11">
      <c r="A60" s="60"/>
      <c r="B60" s="61"/>
      <c r="C60" s="61"/>
      <c r="D60" s="61"/>
      <c r="E60" s="61"/>
      <c r="F60" s="61"/>
      <c r="G60" s="61"/>
      <c r="H60" s="61"/>
      <c r="I60" s="61"/>
      <c r="J60" s="61"/>
      <c r="K60" s="62"/>
    </row>
    <row r="62" spans="1:11">
      <c r="A62" s="9" t="s">
        <v>196</v>
      </c>
      <c r="B62" s="9" t="s">
        <v>103</v>
      </c>
    </row>
    <row r="63" spans="1:11">
      <c r="A63" s="9" t="s">
        <v>254</v>
      </c>
      <c r="B63" s="9" t="s">
        <v>255</v>
      </c>
    </row>
    <row r="64" spans="1:11">
      <c r="B64" s="9" t="s">
        <v>256</v>
      </c>
    </row>
    <row r="65" spans="1:2">
      <c r="B65" s="9" t="s">
        <v>257</v>
      </c>
    </row>
    <row r="66" spans="1:2">
      <c r="B66" s="9" t="s">
        <v>106</v>
      </c>
    </row>
    <row r="67" spans="1:2">
      <c r="B67" s="9" t="s">
        <v>258</v>
      </c>
    </row>
    <row r="68" spans="1:2">
      <c r="B68" s="9" t="s">
        <v>259</v>
      </c>
    </row>
    <row r="69" spans="1:2">
      <c r="B69" s="9" t="s">
        <v>260</v>
      </c>
    </row>
    <row r="70" spans="1:2">
      <c r="B70" s="9" t="s">
        <v>39</v>
      </c>
    </row>
    <row r="71" spans="1:2">
      <c r="B71" s="9" t="s">
        <v>261</v>
      </c>
    </row>
    <row r="72" spans="1:2">
      <c r="B72" s="9" t="s">
        <v>105</v>
      </c>
    </row>
    <row r="74" spans="1:2">
      <c r="A74" s="9" t="s">
        <v>262</v>
      </c>
    </row>
    <row r="75" spans="1:2">
      <c r="A75" s="9" t="s">
        <v>263</v>
      </c>
    </row>
  </sheetData>
  <pageMargins left="0.7" right="0.7" top="1.8025833333333334" bottom="0.75" header="0.3" footer="0.3"/>
  <pageSetup scale="85" orientation="portrait" horizontalDpi="300" verticalDpi="300" r:id="rId1"/>
  <headerFooter>
    <oddHeader>&amp;L&amp;G&amp;R&amp;G
NTT DATA Myanmar Company Limited</oddHeader>
    <oddFooter>&amp;L&amp;"Times New Roman,Regular"&amp;9NDMM_SD1_F-04 (Ver 1.0)  &amp;C&amp;"Times New Roman,Regular"&amp;9Effective Date: 10/01/2022&amp;R&amp;"Times New Roman,Regular"&amp;9Page 4 of 4</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2"/>
  <sheetViews>
    <sheetView topLeftCell="A5" zoomScale="70" zoomScaleNormal="70" workbookViewId="0">
      <selection activeCell="C2" sqref="C2"/>
    </sheetView>
  </sheetViews>
  <sheetFormatPr defaultRowHeight="14.5"/>
  <cols>
    <col min="1" max="1" width="7" customWidth="1"/>
    <col min="2" max="2" width="64.36328125" customWidth="1"/>
    <col min="3" max="3" width="88.36328125" customWidth="1"/>
  </cols>
  <sheetData>
    <row r="1" spans="1:3">
      <c r="A1" s="105" t="s">
        <v>276</v>
      </c>
      <c r="B1" s="105" t="s">
        <v>278</v>
      </c>
      <c r="C1" s="102" t="s">
        <v>277</v>
      </c>
    </row>
    <row r="2" spans="1:3" ht="385" customHeight="1">
      <c r="A2" s="106">
        <v>2</v>
      </c>
      <c r="B2" s="75" t="s">
        <v>281</v>
      </c>
      <c r="C2" s="101"/>
    </row>
    <row r="3" spans="1:3" ht="242.5" customHeight="1">
      <c r="A3" s="106">
        <v>37</v>
      </c>
      <c r="B3" s="97" t="s">
        <v>283</v>
      </c>
      <c r="C3" s="101"/>
    </row>
    <row r="4" spans="1:3" ht="228.5" customHeight="1">
      <c r="A4" s="106">
        <v>28</v>
      </c>
      <c r="B4" s="97" t="s">
        <v>284</v>
      </c>
      <c r="C4" s="101"/>
    </row>
    <row r="5" spans="1:3" ht="375" customHeight="1">
      <c r="A5" s="107">
        <v>26</v>
      </c>
      <c r="B5" s="97" t="s">
        <v>268</v>
      </c>
      <c r="C5" s="101"/>
    </row>
    <row r="222" spans="2:2">
      <c r="B222" s="8"/>
    </row>
  </sheetData>
  <conditionalFormatting sqref="B5">
    <cfRule type="expression" dxfId="9" priority="9">
      <formula>$J5 ="結了"</formula>
    </cfRule>
  </conditionalFormatting>
  <conditionalFormatting sqref="B5">
    <cfRule type="expression" dxfId="8" priority="8">
      <formula>$J5 ="結了"</formula>
    </cfRule>
  </conditionalFormatting>
  <conditionalFormatting sqref="B3">
    <cfRule type="expression" dxfId="5" priority="5">
      <formula>$J3 ="結了"</formula>
    </cfRule>
  </conditionalFormatting>
  <conditionalFormatting sqref="B3">
    <cfRule type="expression" dxfId="4" priority="4">
      <formula>$J3 ="結了"</formula>
    </cfRule>
  </conditionalFormatting>
  <conditionalFormatting sqref="B4">
    <cfRule type="expression" dxfId="3" priority="3">
      <formula>$J4 ="結了"</formula>
    </cfRule>
  </conditionalFormatting>
  <conditionalFormatting sqref="B4">
    <cfRule type="expression" dxfId="2" priority="2">
      <formula>$J4 ="結了"</formula>
    </cfRule>
  </conditionalFormatting>
  <conditionalFormatting sqref="B2">
    <cfRule type="expression" dxfId="1" priority="1">
      <formula>$J2 ="結了"</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レビュー観点</vt:lpstr>
      <vt:lpstr>プロジェクト名(EMS-MM03)</vt:lpstr>
      <vt:lpstr>分類観点と分析ポイント</vt:lpstr>
      <vt:lpstr>data</vt:lpstr>
      <vt:lpstr>指摘‗エビデンス</vt:lpstr>
      <vt:lpstr>data!Print_Area</vt:lpstr>
      <vt:lpstr>'プロジェクト名(EMS-MM03)'!Print_Area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Wint Wint Wah</dc:creator>
  <cp:keywords/>
  <dc:description/>
  <cp:lastModifiedBy>Tun Tun Lin</cp:lastModifiedBy>
  <cp:revision/>
  <dcterms:created xsi:type="dcterms:W3CDTF">2026-01-23T02:54:57Z</dcterms:created>
  <dcterms:modified xsi:type="dcterms:W3CDTF">2026-02-23T10:35:54Z</dcterms:modified>
  <cp:category/>
  <cp:contentStatus/>
</cp:coreProperties>
</file>