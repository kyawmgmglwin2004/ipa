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7298" tabRatio="951"/>
  </bookViews>
  <sheets>
    <sheet name="テストケース表" sheetId="97" r:id="rId1"/>
  </sheets>
  <definedNames>
    <definedName name="_xlnm._FilterDatabase" localSheetId="0" hidden="1">テストケース表!$A$12:$O$62</definedName>
    <definedName name="Print_Title" localSheetId="0">#REF!</definedName>
    <definedName name="Print_Title">#REF!</definedName>
    <definedName name="_xlnm.Print_Titles" localSheetId="0">テストケース表!$1:$7</definedName>
    <definedName name="凡例" localSheetId="0">#REF!</definedName>
    <definedName name="凡例">#REF!</definedName>
  </definedNames>
  <calcPr calcId="162913"/>
</workbook>
</file>

<file path=xl/calcChain.xml><?xml version="1.0" encoding="utf-8"?>
<calcChain xmlns="http://schemas.openxmlformats.org/spreadsheetml/2006/main">
  <c r="A21" i="97" l="1"/>
  <c r="D9" i="97"/>
  <c r="A22" i="97" l="1"/>
  <c r="A23" i="97" s="1"/>
  <c r="A24" i="97" l="1"/>
  <c r="A35" i="97" l="1"/>
  <c r="A45" i="97" l="1"/>
  <c r="A60" i="97" l="1"/>
  <c r="A55" i="97"/>
  <c r="A61" i="97"/>
  <c r="A47" i="97"/>
  <c r="A56" i="97"/>
</calcChain>
</file>

<file path=xl/sharedStrings.xml><?xml version="1.0" encoding="utf-8"?>
<sst xmlns="http://schemas.openxmlformats.org/spreadsheetml/2006/main" count="258" uniqueCount="184">
  <si>
    <t>処理結合テスト
テストケース表</t>
    <rPh sb="0" eb="2">
      <t>ショリ</t>
    </rPh>
    <rPh sb="2" eb="4">
      <t>ケツゴウ</t>
    </rPh>
    <phoneticPr fontId="2"/>
  </si>
  <si>
    <t>システム名</t>
    <phoneticPr fontId="2"/>
  </si>
  <si>
    <t>業務ID／業務名</t>
    <rPh sb="0" eb="2">
      <t>ギョウム</t>
    </rPh>
    <phoneticPr fontId="2"/>
  </si>
  <si>
    <t>機能ID／機能名</t>
    <rPh sb="0" eb="2">
      <t>キノウ</t>
    </rPh>
    <phoneticPr fontId="2"/>
  </si>
  <si>
    <t>作成者</t>
    <phoneticPr fontId="2"/>
  </si>
  <si>
    <t>作成日</t>
    <phoneticPr fontId="2"/>
  </si>
  <si>
    <t>HRIM</t>
  </si>
  <si>
    <t>ITI</t>
  </si>
  <si>
    <t>SC-ITI88-01 Infra Inventory Setting</t>
  </si>
  <si>
    <t>Htet Kaung Chit</t>
  </si>
  <si>
    <t>処理ID／処理名</t>
    <rPh sb="0" eb="2">
      <t>ショリ</t>
    </rPh>
    <phoneticPr fontId="2"/>
  </si>
  <si>
    <t>コンポーネントID／コンポーネント名</t>
    <phoneticPr fontId="2"/>
  </si>
  <si>
    <t>ユニット名</t>
    <phoneticPr fontId="2"/>
  </si>
  <si>
    <t>更新者</t>
    <phoneticPr fontId="2"/>
  </si>
  <si>
    <t>更新日</t>
    <phoneticPr fontId="2"/>
  </si>
  <si>
    <t>ID</t>
    <phoneticPr fontId="2"/>
  </si>
  <si>
    <t>SC-ITI88-01</t>
  </si>
  <si>
    <t>テスト項目表（メイン）</t>
    <rPh sb="3" eb="5">
      <t>コウモク</t>
    </rPh>
    <rPh sb="5" eb="6">
      <t>ヒョウ</t>
    </rPh>
    <phoneticPr fontId="2"/>
  </si>
  <si>
    <t>テスト項目表（サブ）</t>
    <rPh sb="3" eb="5">
      <t>コウモク</t>
    </rPh>
    <rPh sb="5" eb="6">
      <t>ヒョウ</t>
    </rPh>
    <phoneticPr fontId="2"/>
  </si>
  <si>
    <t>入力要素</t>
    <rPh sb="0" eb="2">
      <t>ニュウリョク</t>
    </rPh>
    <rPh sb="2" eb="4">
      <t>ヨウソ</t>
    </rPh>
    <phoneticPr fontId="2"/>
  </si>
  <si>
    <t>Navbar of Setting &gt;IT Infra Inventory Setting</t>
  </si>
  <si>
    <t>出力要素</t>
    <rPh sb="0" eb="2">
      <t>シュツリョク</t>
    </rPh>
    <rPh sb="2" eb="4">
      <t>ヨウソ</t>
    </rPh>
    <phoneticPr fontId="2"/>
  </si>
  <si>
    <t>IT Infra Inventory Setting</t>
  </si>
  <si>
    <t>テスト手順書</t>
    <rPh sb="3" eb="5">
      <t>テジュン</t>
    </rPh>
    <rPh sb="5" eb="6">
      <t>ショ</t>
    </rPh>
    <phoneticPr fontId="2"/>
  </si>
  <si>
    <t>レビュー実施日</t>
    <rPh sb="4" eb="7">
      <t>ジッシビ</t>
    </rPh>
    <phoneticPr fontId="2"/>
  </si>
  <si>
    <t>テストコード</t>
    <phoneticPr fontId="2"/>
  </si>
  <si>
    <t>レビュー実施者</t>
    <rPh sb="4" eb="6">
      <t>ジッシ</t>
    </rPh>
    <rPh sb="6" eb="7">
      <t>シャ</t>
    </rPh>
    <phoneticPr fontId="2"/>
  </si>
  <si>
    <t>-</t>
  </si>
  <si>
    <t>can't add enough data to check</t>
  </si>
  <si>
    <t>can't input or can't delete</t>
  </si>
  <si>
    <t>表示（レイアウト）</t>
  </si>
  <si>
    <t>項番</t>
  </si>
  <si>
    <t xml:space="preserve">テスト観点
</t>
  </si>
  <si>
    <t xml:space="preserve">テストケース概要
</t>
  </si>
  <si>
    <t xml:space="preserve">事前条件
</t>
  </si>
  <si>
    <t xml:space="preserve">入力値
</t>
  </si>
  <si>
    <t xml:space="preserve">期待結果
</t>
  </si>
  <si>
    <t xml:space="preserve">確認日
</t>
  </si>
  <si>
    <t>確認者</t>
  </si>
  <si>
    <t xml:space="preserve">判定
</t>
  </si>
  <si>
    <t xml:space="preserve">確認した
V/R
</t>
  </si>
  <si>
    <t xml:space="preserve">修正
確認日
</t>
  </si>
  <si>
    <t xml:space="preserve">修正
確認者
</t>
  </si>
  <si>
    <t>備　考</t>
  </si>
  <si>
    <t xml:space="preserve">修正確認済
V/R
</t>
  </si>
  <si>
    <t>設計書に記載されているAsset ownerタブの初期表示設計と、実際の画面の初期表示が一致しているかを確認する。</t>
  </si>
  <si>
    <t>1.Asset ownerタブ画面の初期表示には、テーブル付きのAsset ownerリストごとに表示されます。
2.レイアウト、フォント位置、画面デザインにつきましては、【NDMM_SD_F-36_D-DD003_画面設計書_SC-ITI88-01-Infra Inventory Setting】の【レイアウト（様式）】】シートに 記載されたこの通りで正しくがを確認する。  
参考：【4. Asset ownerタブ画面の初期表示タブ】</t>
  </si>
  <si>
    <t>1.Department（部門）ドロップダウンリストは無効化されて、
Division（事業部）が選択された場合にのみ、そのDivisionに対応するDepartmentが表示される仕様となっております。
2.レイアウト、フォント位置および画面デザインにつきましては、【NDMM_SD_F-36_D-DD003_画面設計書_SC-ITI88-01-Infra Inventory Setting】の【レイアウト（様式）】】シートに 記載されたこの通りで正しくがを確認する。  
参照： 【4.1.1. 初期状態では、Department（部門）ドロップダウンリストは無効化されております。Division（事業部）が選択された場合にのみ、そのDivisionに対応するDepartmentが表示されます】</t>
  </si>
  <si>
    <t>Asset ownerタブにおける［Delete Modal Box］画面が、設計書に記載された設計どおりに実装されていることを確認する。</t>
  </si>
  <si>
    <t>1.Error Message画面における［Asset owner］タブの初期表示が表示されます。
2. 使用中のデータを削除しようとした場合には、削除できない旨のエラーメッセージが表示されます。
3. 使用中または登録済みのデータを更新しようとした場合には、エラーメッセージが表示されます。
4.レイアウト、フォント位置および画面デザインにつきましては、【NDMM_SD_F-36_D-DD003_画面設計書_SC-ITI88-01-Infra Inventory Setting】の【レイアウト（様式）】シートに記載されたこの通りで正しくがを確認する。
参考:【4.3. エラーメッセージ】</t>
  </si>
  <si>
    <t>1.Success Message画面における［Asset owner］タブの初期表示が表示されます。
2.レイアウト、フォント位置および画面デザインにつきましては、【NDMM_SD_F-36_D-DD003_画面設計書_SC-ITI88-01-Infra Inventory Setting】の【レイアウト（様式）】シートに記載されたことの通りで正しくがを確認する。
Ref:【4.4. 成功メッセージ】</t>
  </si>
  <si>
    <t xml:space="preserve">表示（レイアウト） - テキスト配置
</t>
  </si>
  <si>
    <t>Display (Layout) - Scroll Display
表示（レイアウト） - スクロール表示</t>
  </si>
  <si>
    <t>Display (Layout) - Scrolling
表示（レイアウト） - スクロール</t>
  </si>
  <si>
    <t xml:space="preserve">
Asset ownerタブ内のAdd New Department +』画面が、設計書に記載されている『Add New Asset owner』の設計内容と一致しているかを確認する。</t>
  </si>
  <si>
    <t>1.新規追加フォームにおいて、[Add Asset owner]モーダル画面のAsset ownerタブの初期表示が、各アセットに対して正しく表示されることを確認する。
2.レイアウト、フォント位置、画面デザインにつきましては、
【NDMM_SD_F-36_D-DD003_画面設計書_SC-ITI88-01-Infra Inventory Setting】の【レイアウト（様式）】シートに 記載されたこの通りで正しくがを確認する。  
参考：【4.1."Add New Department +" 】ボタンをクリックして、
Add Asset Ownモーダルが表示される。</t>
  </si>
  <si>
    <t>Asset ownerタブにおける『Asset owner』モーダルポップアップ画面が、設計書に記載されている『Add New Asset owner』の設計内容と一致しているかを確認する。</t>
  </si>
  <si>
    <t>1.Edit/Delete Asset owner画面におけるAsset ownerタブの初期表示が表示されます。
2.レイアウト、フォント位置および画面デザインにつきましては、【NDMM_SD_F-36_D-DD003_画面設計書_SC-ITI88-01-Infra Inventory Setting】の【レイアウト（様式）】】シートに 記載されたこの通りで正しくがを確認する。  
Ref:【Edit/Delete Asset owner】</t>
  </si>
  <si>
    <t>Asset ownerタブにおけるEdit Modal Box画面が、設計書に記載された設計どおりに実装されていることを確認する。</t>
  </si>
  <si>
    <t>Inventory Asset ownerタブにおける『Asset ownerの編集／削除』機能が、設計書に記載された設計どおりに記載されていることかを確認する。</t>
  </si>
  <si>
    <t>Asset ownerタブにおけるError メッセージ画面が、設計書に記載された設計どおりに実装されていることを確認する。
1つのプロセスで使用されているデータを編集または削除する場合には、エラーメッセージが表示されることです。</t>
  </si>
  <si>
    <t>Asset ownerタブにおけるSuccess メッセージ画面が設計書に記載された設計どおりに実装されていることを確認する。</t>
  </si>
  <si>
    <t>1. ログインする。（ログイン可能なユーザーは［インフラ］または［シニアインフラ］に限られます）。
2.「Setting」メニューより「IT Infra Inventory Setting」をクリックする。
3.「Asset owner」タブをクリックする。
4.「Add New Department +」ボタンをクリックする。</t>
  </si>
  <si>
    <t xml:space="preserve">1. ログインする。（ログイン可能なユーザーは［インフラ］または［シニアインフラ］に限られます）。
2.［Setting］ &gt; ［IT Infra Inventory Setting］をクリックする、
3.［Asset owner］タブをクリックする。
4.［Delete］ボタンをクリックする。
</t>
  </si>
  <si>
    <t xml:space="preserve">1. ログインする。（ログイン可能なユーザーは［インフラ］または［シニアインフラ］に限られます）。
2「.Setting」 &gt; IT Infra Inventory Settingメニューをクリックする。
</t>
  </si>
  <si>
    <t>1. ログインする。（ログイン可能なユーザーは［インフラ］または［シニアインフラ］に限られます）。
2.［Setting］ &gt; ［IT Infra Inventory Setting］をクリックする、
3.［Asset owner］タブをクリックする。
4.［Edit］ボタンをクリックする。</t>
  </si>
  <si>
    <t>1. ログインする。（ログイン可能なユーザーは［インフラ］または［シニアインフラ］に限られます）。
2.［Setting］ &gt; ［IT Infra Inventory Setting］をクリックする。</t>
  </si>
  <si>
    <t>1.Login (login user must be Infra or Senior Infra)
2.Click Setting &gt;IT Infra Inventory Setting
3. Click "Add New Department +" 
1.ログイン（ログイン可能なユーザーは［Infra］または［Senior Infra］に限られます）。
2.［Setting］をクリックし、［IT Infra Inventory Setting］を選択する。
3.［Add New Department＋］をクリックする。</t>
  </si>
  <si>
    <t>1.Edit Modal Box画面における［Asset owner］タブの初期表示が表示されます。
2.レイアウト、フォント位置および画面デザインにつきましては、【NDMM_SD_F-36_D-DD003_画面設計書_SC-ITI88-01-Infra Inventory Setting】の【レイアウト（様式）】シートに 記載されたこの通りで正しくがを確認する。
参照:【4.2.2、Editモデルボックス】</t>
  </si>
  <si>
    <t>1.Delete Modal Box画面における［Asset owner］タブの初期表示が表示されます。
2.レイアウト、フォント位置および画面デザインにつきましては、【NDMM_SD_F-36_D-DD003_画面設計書_SC-ITI88-01-Infra Inventory Setting】の【レイアウト（様式）】】シートに 記載されたこの通りで正しくがを確認する。
参照:【4.2.1、Deleteモデルボックス】</t>
  </si>
  <si>
    <t xml:space="preserve">
表示（レイアウト） - 画面サイズ
変更</t>
  </si>
  <si>
    <t xml:space="preserve">
表示（レイアウト） - 表示/非表示</t>
  </si>
  <si>
    <t xml:space="preserve">
画面状態 - アクティブ/非アクティブ</t>
  </si>
  <si>
    <t xml:space="preserve">
その他 - Enter
</t>
  </si>
  <si>
    <t xml:space="preserve">
その他 - ダブルクリック</t>
  </si>
  <si>
    <t>入力チェック - 最大桁数入力</t>
  </si>
  <si>
    <t>その他 - クライアント</t>
  </si>
  <si>
    <t xml:space="preserve">
スクリーンステート - 出力編集</t>
  </si>
  <si>
    <t xml:space="preserve">
画面の状態 - 選択/選択解除</t>
  </si>
  <si>
    <t xml:space="preserve">
ドロップダウンボックスにおいて［Department］の［Add New Asset Owner］を選択した後も、当該選択状態が保持されていることを確認する。</t>
  </si>
  <si>
    <t xml:space="preserve">
1. インフラアカウントでログインする。
2. 「Setting」に移動し、「IT　Infra Inventory Setting」に進みます。
3. 「Asset Owner 」タブをクリックする。
4. 「Add New Department」をクリックする。
（Add New Asset Owner of Departmentにチェックを入れます）</t>
  </si>
  <si>
    <t xml:space="preserve">
「Deprtment」を選択した後、ドロップダウンボックスからそのデータを選択する。</t>
  </si>
  <si>
    <t xml:space="preserve">
選択後、修正された値がドロップダウン ボックスに表示されます。</t>
  </si>
  <si>
    <t xml:space="preserve">
選択後、ドロップダウンボックスに修正された値が表示されます。</t>
  </si>
  <si>
    <t xml:space="preserve">
1. インフラアカウントにログインする。
2. 「Setting」に移動し、「IT　Infra Inventory Setting」に進みます。
3. 「Asset Owner」タブをクリックする。
4. 「Add New Department」をクリックする。
（「Add New Asset Owner of Division」にチェックを入れます）</t>
  </si>
  <si>
    <t xml:space="preserve">
ドロップダウンボックスにおいて［Division］の［Add Asset Owner］を選択した後も、当該選択状態が保持されていることを確認する。</t>
  </si>
  <si>
    <t xml:space="preserve">
「ITインフラ在庫設定の出力は、オンライン処理設計書に記載された出力編集仕様に従って生成されることを確認する。</t>
  </si>
  <si>
    <t xml:space="preserve">
「Edit」ボタンをダブルクリックする。</t>
  </si>
  <si>
    <t xml:space="preserve">
1.［Infra］アカウントでログインする。
2. 「Setting」に移動し、「IT　Infra Inventory Setting」に進みます。
3. 「 Asset Owner」タブをクリックする。
4. 「Edit」をクリックする。</t>
  </si>
  <si>
    <t xml:space="preserve">
「［Edit Asset Owner］モーダルボックスの［Edit］ボタンにおいて、ダブルクリックにより次画面への遷移が開始されること、また二度目のクリックが無効化され、同一操作が繰り返し実行されないことを確認する。</t>
  </si>
  <si>
    <t xml:space="preserve">
［Add］ボタンの［Add New Asset Owner］において、ダブルクリックにより次画面への遷移が開始されること、また二度目のクリックが無効化され、同一操作が繰り返し実行されないことを確認する、</t>
  </si>
  <si>
    <t xml:space="preserve">
［Delete Asset Owner Modal Box］における［Delete］ボタンおよび［Cancel］ボタンについて、ダブルクリックにより次画面への遷移が開始されること、また二度目のクリックが無効化され、同一操作が繰り返し実行されないことを確認する。</t>
  </si>
  <si>
    <t xml:space="preserve">
［Add New Department＋］ボタンのAsset Ownerタブにおいて、ダブルクリックにより次画面への遷移が開始されること、また二度目のクリックが無効化され、同一操作が繰り返し実行されないことを確認する。</t>
  </si>
  <si>
    <t xml:space="preserve">
Enterキーを押下した際に、カーソルがページ上の想定外の位置へ移動する事象が発生することを確認する。</t>
  </si>
  <si>
    <t xml:space="preserve">
［Cancel］をクリックした際には、ドキュメントに記載された設計に従い、［Delete Asset Owner Modal］が閉じられることを確認する。</t>
  </si>
  <si>
    <t xml:space="preserve">
［Delete］をクリックした際には、ドキュメントに記載された設計に従い、［Delete Asset Owner Modal］が表示されることを確認する。</t>
  </si>
  <si>
    <t xml:space="preserve">
［Close］をクリックした際には、ドキュメントに記載された設計に従い、［Edit Asset Owner Modal］が閉じられることを確認する。</t>
  </si>
  <si>
    <t xml:space="preserve">
［Edit］をクリックした際には、ドキュメントに記載された設計に従い、［Edit Asset Owner Modal］が表示されることを確認する。</t>
  </si>
  <si>
    <t xml:space="preserve">
［Menu］をクリックした際には、ドキュメントに記載された設計に従い、［Menu（Asset Owner）］が表示されることを確認する。</t>
  </si>
  <si>
    <t xml:space="preserve">
［Close］をクリックした際には、設計書に記載された設計に従い、［Add Asset Owner Modal］が閉じられることを確認する。</t>
  </si>
  <si>
    <t xml:space="preserve">
Add New Departmentをクリックした際には、ドキュメントに記載された設計に従い、Add Asset Owner Modalが表示されることを確認する。</t>
  </si>
  <si>
    <t xml:space="preserve">
Asset Ownerをクリックした際には、ドキュメントに記載された設計に従い、Asset Owner Tableが表示されることを確認する。</t>
  </si>
  <si>
    <t xml:space="preserve">
「Asset Number Prefixフィールドにおいては、最大入力長が10文字まで受け付けられることを確認する。</t>
  </si>
  <si>
    <t xml:space="preserve">
「Asset Owner Nameフィールドにおいては、最大入力長が10文字まで受け付けられることを確認する。</t>
  </si>
  <si>
    <t xml:space="preserve">
Asset ownerタブ（Active画面）の［Action Buttonクリック時］においては、ドキュメントに記載された設計に従い、画面上の特定UI要素として○および△が表示され、（－）は非表示となっていることを確認する。</t>
  </si>
  <si>
    <t xml:space="preserve">
Asset ownerタブ（Active画面）の［Edit Asset owner］においては、ドキュメントに記載された設計に従い、画面上の特定UI要素として○および△が表示され、（－）は非表示となっていることを確認する。</t>
  </si>
  <si>
    <t xml:space="preserve">
Asset ownerタブ（Active画面）の［Delete Asset owner］においては、ドキュメントに記載された設計に従い、画面上の特定UI要素として○および△が表示され、（－）は非表示となっていることを確認する。</t>
  </si>
  <si>
    <t xml:space="preserve">
Asset ownerタブ画面の［Add Asset Owner（Division選択時）］においては、ドキュメントに記載された設計に従い、画面上の特定UI要素として○および△が表示され、（－）は非表示となっていることを確認する。</t>
  </si>
  <si>
    <t xml:space="preserve">
Asset ownerタブ（Active画面）の［Add Asset owner］においては、ドキュメントに記載された設計に従い、画面上の特定UI要素として○および△が表示され、（－）は非表示となっていることを確認する。</t>
  </si>
  <si>
    <t xml:space="preserve">
Asset ownerタブ（Active画面）の［Error（Edit Asset owner）］においては、ドキュメントに記載された設計に従い、画面上の特定UI要素として○および△が表示され、（－）は非表示となっていることを確認する。
</t>
  </si>
  <si>
    <t xml:space="preserve">
Asset ownerタブ（Active画面）の［Error（Add Asset owner）］においては、ドキュメントに記載された設計に従い、画面上の特定UI要素として○および△が表示され、（－）は非表示となっていることを確認する。</t>
  </si>
  <si>
    <t xml:space="preserve">
Inventory Authorizationタブ（Active画面）において、取得されたAsset ownerが存在しない場合には、ドキュメントに記載された設計に従い、画面上の特定UI要素として○および△が表示され、（－）は非表示となっていることを確認する。</t>
  </si>
  <si>
    <t xml:space="preserve">
「Asset ownerタブ（Active画面）の初期表示においては、ドキュメントに記載された設計に従い、画面上の特定UI要素として○および△が表示され、（－）は非表示となっていることを確認する。</t>
  </si>
  <si>
    <t xml:space="preserve">
Asset ownerタブ画面の［Add Asset Owner（Division選択時）］においては、ドキュメントに記載された設計に従い、画面上の特定UI要素として○および△が表示され、（－）は非表示となっていることを確認する。</t>
  </si>
  <si>
    <t xml:space="preserve">
「Asset ownerタブ（Active画面）の［Action Buttonクリック時］においては、ドキュメントに記載された設計に従い、画面上の特定UI要素として○および△が表示され、（－）は非表示となっていることを確認する。</t>
  </si>
  <si>
    <t xml:space="preserve">
Asset ownerタブ（Active画面）の［Add／Edit／Delete Asset owner（Success）］においては、ドキュメントに記載された設計に従い、画面上の特定UI要素として○および△が表示され、（－）は非表示となっていることを確認する。</t>
  </si>
  <si>
    <t xml:space="preserve">
Asset ownerタブ（Active画面）の［Delete Asset owner］においては、ドキュメントに記載された設計に従い、画面上の特定UI要素として○および△が表示され、（－）は非表示となっていることを確認する。</t>
  </si>
  <si>
    <t xml:space="preserve">
Asset ownerタブ（Active画面）の［Add Asset owner］においては、ドキュメントに記載された設計に従い、画面上の特定UI要素として○および△が表示され、（－）は非表示となっていることを確認する。</t>
  </si>
  <si>
    <t xml:space="preserve">
Asset ownerタブ（Active画面）の［Error（Edit Asset owner）］においては、
ドキュメントに記載された設計に従い、
画面上の特定UI要素として○および△が表示され、
（－）は非表示となっていることを確認する。</t>
  </si>
  <si>
    <t xml:space="preserve">
Asset ownerタブ（Active画面）の［Error（Add Asset owner）］においては、
に記載された設計に従い、画面上の特定UI要素として○および△が表示され、（－）は非表示となっていることを確認する。
</t>
  </si>
  <si>
    <t xml:space="preserve">
文書化された設計に従って、資産所有者タブ (アクティブ) 画面の初期表示の ○ と △ が表示され、( - ) が画面固有の UI 要素で非表示になっていることを確認する。</t>
  </si>
  <si>
    <t xml:space="preserve">
Update Inventory Item Formにおいて、画面解像度や文字サイズを調整した際にも、コンテンツが正確かつ適切な書式で表示され、レイアウトの一貫性、要素の視認性、文字の可読性が確保されていることを確認する。</t>
  </si>
  <si>
    <t xml:space="preserve">
Infra Inventory Settingで垂直スクロールが正しく機能することを確認する。</t>
  </si>
  <si>
    <t xml:space="preserve">
1920×1080の解像度で横スクロールバーが表示されず、レイアウトがビューポート内に完全に収まることを確認する。
</t>
  </si>
  <si>
    <t xml:space="preserve">
Infra Inventory Setting画面のテキスト配置 (左、中央、右) が、この画面について文書化された初期設計と一致していることを確認する。</t>
  </si>
  <si>
    <t xml:space="preserve">
1. ログイン（ログイン可能なユーザーは［Infra］または［Senior Infra］に限られます）
2.［Setting］をクリックし、［IT Infra Inventory Setting］を選択する。
3.［Add New Department＋］をクリックする。</t>
  </si>
  <si>
    <t xml:space="preserve">
1. ログイン（ログイン可能なユーザーは［Infra］または［Senior Infra］に限られます）
2.［Setting］をクリックし、［IT Infra Inventory Setting］を選択する。
</t>
  </si>
  <si>
    <t xml:space="preserve">
ユーザーは画面解像度およびブラウザのズーム／文字サイズを調整することが可能です。 フォームは画面の変更に応じてレスポンシブまたはアダプティブに動作いたします。</t>
  </si>
  <si>
    <t xml:space="preserve">
Infra Inventory Settingにはスクロールが必要となる十分な内容が含まれております。 また、ブラウザは標準的なスクロール動作をサポートしております。</t>
  </si>
  <si>
    <t xml:space="preserve">
システムの解像度は1920×1080に設定されています。 新規アイテム登録フォームは標準的なブラウザウィンドウにて開かれます。</t>
  </si>
  <si>
    <t xml:space="preserve">
許可されたユーザーのみが在庫項目更新フォームにアクセスできます。
2.ログイン &gt; 設定をクリック &gt; IT Infra Inventory Setting</t>
  </si>
  <si>
    <t xml:space="preserve">
1.ログイン（ログイン可能なユーザーは［Infra］または［Senior Infra］に限られます）
2.［Setting］をクリックし、［IT Infra Inventory Setting］を選択する。
3.［Add New Department＋］をクリックする</t>
  </si>
  <si>
    <t xml:space="preserve">
1.ログイン（ログイン可能なユーザーは［Infra］または［Senior Infra］に限られます）
2.［Setting］をクリックし、［IT Infra Inventory Setting］を選択する。
3.［Add New Department＋］をクリックする
</t>
  </si>
  <si>
    <t xml:space="preserve">
1.ログイン（ログイン可能なユーザーは［Infra］または［Senior Infra］に限られます）
2.［Setting］をクリックし、［IT Infra Inventory Setting］を選択する。
3.［Add New Department＋］をクリックする</t>
  </si>
  <si>
    <t xml:space="preserve">
1.ログイン（ログイン可能なユーザーは［Infra］または［Senior Infra］に限られます）。
2.［Setting］をクリックし、［IT Infra Inventory Setting］を選択する。
3.［Add New Department＋］をクリックする
</t>
  </si>
  <si>
    <t xml:space="preserve"> 
1.ログイン（ログイン可能なユーザーは［Infra］または［Senior Infra］に限られます）
2.［Setting］をクリックし、［IT Infra Inventory Setting］を選択する。
3.［Add New Department＋］をクリックする</t>
  </si>
  <si>
    <t xml:space="preserve">
1.ログイン（ログイン可能なユーザーは［Infra］または［Senior Infra］に限られます）。
2.［Setting］をクリックし、［IT Infra Inventory Setting］を選択する。
3.［Add New Department＋］をクリックする</t>
  </si>
  <si>
    <t xml:space="preserve">
1.ログイン（ログイン可能なユーザーは［Infra］または［Senior Infra］に限られます）
2.［Setting］をクリックし、［IT Infra Inventory Setting］を選択する。
3.［Add New Department＋］ボタン、［Edit］ボタン、［Delete］ボタンをクリックする。
</t>
  </si>
  <si>
    <t xml:space="preserve">
1.ログイン（ログイン可能なユーザーは［Infra］または［Senior Infra］に限られます）。
2.［Setting］をクリックし、［IT Infra Inventory Setting］を選択する。
3.［Add New Department＋］をクリックする。</t>
  </si>
  <si>
    <t xml:space="preserve">
1.［Infra］アカウントでログインする。
2.［Setting］に進み、［IT Infra Inventory Setting］を選択する。
3.［Add New Department＋］をクリックする。</t>
  </si>
  <si>
    <t xml:space="preserve">
1.［Infra］アカウントでログインする。。
2.［Setting］に進み、［IT Infra Inventory Setting］を選択する。。
3.［Asset Owner］タブをクリックする。。</t>
  </si>
  <si>
    <t xml:space="preserve">
1.［Infra］アカウントでログインする。
2. 「Setting」に移動し、「ITInfra Inventory Setting」に進みます。</t>
  </si>
  <si>
    <t xml:space="preserve">
1.［Infra］アカウントでログインする。
2. 「Setting」に移動し、「IT　Infra Inventory Setting」に進みます。</t>
  </si>
  <si>
    <t xml:space="preserve">
1. インフラアカウントにログインする。
2. 「Setting」に移動し、「IT　Infra Inventory Setting」に進みます。</t>
  </si>
  <si>
    <t xml:space="preserve">
1.［Infra］アカウントでログインする。
2. 「Setting」に移動し、「IT　Infra Inventory Setting」に進みます。</t>
  </si>
  <si>
    <t xml:space="preserve">
1.［Infra］アカウントでログインする。
2. 「Setting」に移動し、「IT　Infra Inventory Setting」に進みます。
3. 「Asset Owner」タブをクリックする。
4. 「Add New Department」をクリックする、</t>
  </si>
  <si>
    <t xml:space="preserve">
1.［Infra］アカウントでログインする。
2. 「Setting」に移動し、「IT　Infra Inventory Setting」に進みます。
3. 「 Asset Owner」タブをクリックする。
4. 「削除」をクリックする。</t>
  </si>
  <si>
    <t xml:space="preserve">
フォームを垂直にスクロールする。</t>
  </si>
  <si>
    <t xml:space="preserve">
新規アイテム登録フォームを読み込みする。</t>
  </si>
  <si>
    <t xml:space="preserve">
画面の解像度および文字サイズ（例：ズームイン／ズームアウト、ウィンドウサイズの変更）を調整する。</t>
  </si>
  <si>
    <t xml:space="preserve">
1.ログイン（ログイン可能なユーザーは［Infra］または［Senior Infra］に限られます）。
2.［Setting］をクリックし、［IT Infra Inventory Setting］を選択する。
3.［Add New Department＋］をクリックする。</t>
  </si>
  <si>
    <t xml:space="preserve">
許可されている文字数を超えて入力する。</t>
  </si>
  <si>
    <t xml:space="preserve">
「Add New Department」をクリックする。</t>
  </si>
  <si>
    <t xml:space="preserve">
「Close」をクリックする。</t>
  </si>
  <si>
    <t xml:space="preserve">
メニューをクリックする。</t>
  </si>
  <si>
    <t xml:space="preserve">
「Edit」をクリックする。</t>
  </si>
  <si>
    <t xml:space="preserve">
「Delete」をクリックする。</t>
  </si>
  <si>
    <t xml:space="preserve">
「Cancel」をクリックする。</t>
  </si>
  <si>
    <t xml:space="preserve">
Enterキーを押す。</t>
  </si>
  <si>
    <t xml:space="preserve">
「Add New Department」の「Asset Owner 」タブをダブルクリックする。</t>
  </si>
  <si>
    <t xml:space="preserve">
「追加」ボタンの「 Asset Ownerを追加」をダブルクリックする。</t>
  </si>
  <si>
    <t xml:space="preserve">
「Delete」ボタンと「Cancel」ボタンをダブルクリックする。</t>
  </si>
  <si>
    <t xml:space="preserve">
「Division」を選択した後、ドロップダウンボックスからそのデータを選択する。</t>
  </si>
  <si>
    <t xml:space="preserve">
1. すべてのテキストフィールドとラベルは、_ 【画面項目（様式） 】シートに従って配置されます。
【NDMM_SD_F-36_D-DD003_画面設計書_SC-ITI88-01-Infra Inventory Setting】
2.スペルが正しいかどうかを確認する。
3.ラベル名が上記のDDと完全に一致していることを確認する。
テキスト要素の位置ずれや重なりはありません。
</t>
  </si>
  <si>
    <t xml:space="preserve">
1. 画面解像度が「幅1920px × 高さ1080px」に設定されている場合、マイアイテムリクエスト＆返品一覧画面で横スクロールが表示されません。
2. すべてのコンテンツがビューポートの幅に収まります。レイアウトはすっきりと整頓されています。</t>
  </si>
  <si>
    <t xml:space="preserve">
垂直スクロールはスムーズに動作し、すべてのコンテンツが表示されます。
スクロールの問題によりレイアウトが崩れたり、コンテンツにアクセスできなくなったりすることはありません。</t>
  </si>
  <si>
    <t xml:space="preserve">
コンテンツは正確で読みやすく、フォーマットも適切です。
要素の重なり、欠落、位置ずれはありません。
レイアウトは、使いやすさを維持しながら、さまざまな画面サイズに適応する。</t>
  </si>
  <si>
    <t xml:space="preserve">
（画面状態（様式））シートに記載されている各フィールドの表示/非表示状態を確認する。
1. Display(〇)は表示可能かつ入力可能である必要があると記載されているフィールドにチェックを入れます。
2. 表示しない(-)と記載されているフィールドが表示されないようにチェックする。
【NDMM_SD_F-36_D-DD003_画面設計書_SC-ITI88-01-Infra Inventory Setting】
シート名 -画面状態（様式）
チェックポイント - 「Asset owner」タブの初期表示</t>
  </si>
  <si>
    <t xml:space="preserve">
（画面状態（様式））シートに記載されている各フィールドの表示/非表示状態を確認する。。
1. 
表示(〇)と記載されているフィールドは表示可能かつ代入可能であることを確認する。
2.  表示しない(-)と記載されているフィールドが表示されないようにチェックする。
【NDMM_SD_F-36_D-DD003_画面設計書_SC-ITI88-01-Infra Inventory Setting】
シート名 -画面状態（様式）
チェックポイント - 「Asset owner」タブの初期表示</t>
  </si>
  <si>
    <t xml:space="preserve">
（画面状態（様式））シートに記載されている各フィールドの表示/非表示状態を確認する。
1. 
表示(〇)と記載されているフィールドは表示可能かつ代入可能であることを確認する。
2.  表示しない(-)と記載されているフィールドが表示されないようにチェックする。
【NDMM_SD_F-36_D-DD003_画面設計書_SC-ITI88-01-Infra Inventory Setting】
シート名 -画面状態（様式）
チェックポイント - 「Asset owner」タブの初期表示</t>
  </si>
  <si>
    <t xml:space="preserve">
入力は指定された最大文字数に制限する。</t>
  </si>
  <si>
    <t xml:space="preserve">
Asset Ownerテーブルを表示する。
【NDMM_SD_F-36_D-DD003_画面設計書_SC-ITI88-01-Infra Inventory Setting】に記載されているの通りかを確認する。
シート名 - [画面項目（様式)]
チェックポイント - ITI88_01_CP35</t>
  </si>
  <si>
    <t xml:space="preserve">
「Add Asset Ownerモーダル」を表示する。
【NDMM_SD_F-36_D-DD003_画面設計書_SC-ITI88-01-Infra Inventory Setting】に記載されているの通りかを確認する。
シート名 - [画面項目（様式)]
チェックポイント - ITI88_01_CP36"</t>
  </si>
  <si>
    <t xml:space="preserve">
「メニュー(Asset Owner)」を表示する。
【NDMM_SD_F-36_D-DD003_画面設計書_SC-ITI88-01-Infra Inventory Setting】に記載されているの通りかを確認する。
シート名 - [画面項目（様式)]
チェックポイント - ITI88_01_CP38</t>
  </si>
  <si>
    <t xml:space="preserve">
「Add Asset Ownerモーダル」を閉じます。
【NDMM_SD_F-36_D-DD003_画面設計書_SC-ITI88-01-Infra Inventory Setting】に記載されているの通りかを確認する。
シート名 - [画面項目（様式)]
チェックポイント - ITI88_01_CP3７</t>
  </si>
  <si>
    <t xml:space="preserve">
「アセット所有者の編集モーダル」を表示する。
【NDMM_SD_F-36_D-DD003_画面設計書_SC-ITI88-01-Infra Inventory Setting】に記載されているの通りかを確認する。
シート名 - [画面項目（様式)]
チェックポイント - ITI88_01_CP39</t>
  </si>
  <si>
    <t xml:space="preserve">
「アセット所有者の編集モーダル」を閉じます。
【NDMM_SD_F-36_D-DD003_画面設計書_SC-ITI88-01-Infra Inventory Setting】に記載されているに記載されているの通りかを確認する。
シート名 - [画面項目（様式)]
チェックポイント - ITI88_01_CP40</t>
  </si>
  <si>
    <t xml:space="preserve">
「アセット所有者の削除モーダル」を開きます。
【NDMM_SD_F-36_D-DD003_画面設計書_SC-ITI88-01-Infra Inventory Setting】に記載されているに記載されているの通りかを確認する。
シート名 - [画面項目（様式)]
チェックポイント - ITI88_01_CP41</t>
  </si>
  <si>
    <t xml:space="preserve">
「アセット所有者の削除モーダル」を閉じます。
【NDMM_SD_F-36_D-DD003_画面設計書_SC-ITI88-01-Infra Inventory Setting】に記載されているの通りかを確認する。
シート名 - [画面項目（様式)]
チェックポイント - ITI88_01_CP42</t>
  </si>
  <si>
    <t xml:space="preserve">
チェックカーソルがページ上の予期しない場所へジャンプすること。</t>
  </si>
  <si>
    <t xml:space="preserve">
最初のクリックで遷移が開始され、2回目のクリックは重複アクションを防ぐため無効になることです。</t>
  </si>
  <si>
    <t xml:space="preserve">
最初のクリックで遷移が開始され、2 回目のクリックは繰り返し操作を防ぐために無効になることです。</t>
  </si>
  <si>
    <t xml:space="preserve">
ITInfra Inventory Settingの出力データが正しく表示されています。</t>
  </si>
  <si>
    <t>User ID : Portal ID
Password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</si>
</sst>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quot;¥&quot;#,##0;[Red]&quot;¥&quot;\-#,##0"/>
  </numFmts>
  <fonts count="12">
    <font>
      <sz val="11"/>
      <name val="ＭＳ Ｐゴシック"/>
      <family val="3"/>
      <charset val="128"/>
    </font>
    <font>
      <sz val="11"/>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u/>
      <sz val="11"/>
      <color indexed="12"/>
      <name val="ＭＳ Ｐゴシック"/>
      <family val="3"/>
      <charset val="128"/>
    </font>
    <font>
      <b/>
      <sz val="10"/>
      <color theme="1"/>
      <name val="Meiryo UI"/>
      <family val="2"/>
    </font>
    <font>
      <sz val="10"/>
      <color theme="1"/>
      <name val="Meiryo UI"/>
      <family val="2"/>
    </font>
    <font>
      <sz val="11"/>
      <color theme="1"/>
      <name val="Calibr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7">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5">
    <xf numFmtId="0" fontId="0" fillId="0" borderId="0">
      <alignment vertical="center"/>
    </xf>
    <xf numFmtId="164" fontId="2" fillId="0" borderId="0" applyFill="0" applyBorder="0" applyAlignment="0"/>
    <xf numFmtId="0" fontId="3" fillId="0" borderId="0">
      <alignment horizontal="left"/>
    </xf>
    <xf numFmtId="0" fontId="4" fillId="0" borderId="1" applyNumberFormat="0" applyAlignment="0" applyProtection="0">
      <alignment horizontal="left" vertical="center"/>
    </xf>
    <xf numFmtId="0" fontId="4" fillId="0" borderId="2">
      <alignment horizontal="left" vertical="center"/>
    </xf>
    <xf numFmtId="4" fontId="3" fillId="0" borderId="0">
      <alignment horizontal="right"/>
    </xf>
    <xf numFmtId="4" fontId="5" fillId="0" borderId="0">
      <alignment horizontal="right"/>
    </xf>
    <xf numFmtId="0" fontId="6" fillId="0" borderId="0">
      <alignment horizontal="left"/>
    </xf>
    <xf numFmtId="0" fontId="7" fillId="0" borderId="0">
      <alignment horizontal="center"/>
    </xf>
    <xf numFmtId="0" fontId="8"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165" fontId="1" fillId="0" borderId="0" applyFont="0" applyFill="0" applyBorder="0" applyAlignment="0" applyProtection="0"/>
  </cellStyleXfs>
  <cellXfs count="75">
    <xf numFmtId="0" fontId="0" fillId="0" borderId="0" xfId="0">
      <alignment vertical="center"/>
    </xf>
    <xf numFmtId="0" fontId="10" fillId="0" borderId="0" xfId="0" applyFont="1">
      <alignment vertical="center"/>
    </xf>
    <xf numFmtId="0" fontId="10" fillId="0" borderId="0" xfId="11" applyFont="1" applyAlignment="1">
      <alignment vertical="center"/>
    </xf>
    <xf numFmtId="0" fontId="10" fillId="0" borderId="0" xfId="11" applyFont="1"/>
    <xf numFmtId="0" fontId="10" fillId="3" borderId="0" xfId="11" applyFont="1" applyFill="1"/>
    <xf numFmtId="0" fontId="9" fillId="4" borderId="4" xfId="11" applyFont="1" applyFill="1" applyBorder="1" applyAlignment="1">
      <alignment vertical="center"/>
    </xf>
    <xf numFmtId="0" fontId="9" fillId="3" borderId="4" xfId="0" applyFont="1" applyFill="1" applyBorder="1" applyAlignment="1">
      <alignment horizontal="left" vertical="center"/>
    </xf>
    <xf numFmtId="0" fontId="9" fillId="0" borderId="3" xfId="10" applyFont="1" applyFill="1" applyBorder="1" applyAlignment="1">
      <alignment horizontal="center" vertical="center"/>
    </xf>
    <xf numFmtId="0" fontId="10" fillId="0" borderId="3" xfId="10" applyFont="1" applyFill="1" applyBorder="1" applyAlignment="1">
      <alignment horizontal="left" vertical="center"/>
    </xf>
    <xf numFmtId="0" fontId="9" fillId="0" borderId="3" xfId="10" applyFont="1" applyFill="1" applyBorder="1" applyAlignment="1">
      <alignment vertical="center" wrapText="1"/>
    </xf>
    <xf numFmtId="0" fontId="10" fillId="0" borderId="3" xfId="10" applyFont="1" applyBorder="1" applyAlignment="1">
      <alignment vertical="center"/>
    </xf>
    <xf numFmtId="0" fontId="10" fillId="0" borderId="0" xfId="10" applyFont="1" applyAlignment="1">
      <alignment vertical="center"/>
    </xf>
    <xf numFmtId="0" fontId="9" fillId="2" borderId="4" xfId="10" applyFont="1" applyFill="1" applyBorder="1" applyAlignment="1">
      <alignment horizontal="center" vertical="center" wrapText="1"/>
    </xf>
    <xf numFmtId="0" fontId="9" fillId="2" borderId="5" xfId="10" applyFont="1" applyFill="1" applyBorder="1" applyAlignment="1">
      <alignment horizontal="center" vertical="center" wrapText="1"/>
    </xf>
    <xf numFmtId="0" fontId="10" fillId="0" borderId="14" xfId="0" applyFont="1" applyBorder="1" applyAlignment="1">
      <alignment vertical="center" wrapText="1"/>
    </xf>
    <xf numFmtId="0" fontId="10" fillId="3" borderId="14" xfId="0" applyFont="1" applyFill="1" applyBorder="1" applyAlignment="1">
      <alignment vertical="top" wrapText="1"/>
    </xf>
    <xf numFmtId="0" fontId="10" fillId="3" borderId="4" xfId="11" applyFont="1" applyFill="1" applyBorder="1" applyAlignment="1">
      <alignment horizontal="center" vertical="center"/>
    </xf>
    <xf numFmtId="14" fontId="10" fillId="0" borderId="4" xfId="10" applyNumberFormat="1" applyFont="1" applyBorder="1" applyAlignment="1">
      <alignment horizontal="center" vertical="center" shrinkToFit="1"/>
    </xf>
    <xf numFmtId="0" fontId="10" fillId="0" borderId="4" xfId="10" applyFont="1" applyBorder="1" applyAlignment="1">
      <alignment horizontal="center" vertical="center" shrinkToFit="1"/>
    </xf>
    <xf numFmtId="0" fontId="10" fillId="0" borderId="4" xfId="10" applyFont="1" applyBorder="1" applyAlignment="1">
      <alignment horizontal="center" vertical="center"/>
    </xf>
    <xf numFmtId="0" fontId="11" fillId="0" borderId="6" xfId="0" applyFont="1" applyBorder="1" applyAlignment="1">
      <alignment horizontal="center" vertical="center"/>
    </xf>
    <xf numFmtId="0" fontId="10" fillId="0" borderId="4" xfId="10" quotePrefix="1" applyFont="1" applyFill="1" applyBorder="1" applyAlignment="1">
      <alignment vertical="center" wrapText="1"/>
    </xf>
    <xf numFmtId="0" fontId="10" fillId="0" borderId="15" xfId="0" applyFont="1" applyBorder="1" applyAlignment="1">
      <alignment vertical="center" wrapText="1"/>
    </xf>
    <xf numFmtId="0" fontId="10" fillId="3" borderId="15" xfId="0" applyFont="1" applyFill="1" applyBorder="1" applyAlignment="1">
      <alignment vertical="top" wrapText="1"/>
    </xf>
    <xf numFmtId="0" fontId="10" fillId="0" borderId="4" xfId="0" applyFont="1" applyBorder="1" applyAlignment="1">
      <alignment horizontal="center" vertical="center" wrapText="1"/>
    </xf>
    <xf numFmtId="0" fontId="10" fillId="3" borderId="4" xfId="0" applyFont="1" applyFill="1" applyBorder="1" applyAlignment="1">
      <alignment horizontal="center" vertical="center" wrapText="1"/>
    </xf>
    <xf numFmtId="14" fontId="10" fillId="0" borderId="4" xfId="10" applyNumberFormat="1" applyFont="1" applyFill="1" applyBorder="1" applyAlignment="1">
      <alignment horizontal="center" vertical="center" shrinkToFit="1"/>
    </xf>
    <xf numFmtId="0" fontId="10" fillId="0" borderId="4" xfId="10" applyFont="1" applyFill="1" applyBorder="1" applyAlignment="1">
      <alignment horizontal="center" vertical="center" shrinkToFit="1"/>
    </xf>
    <xf numFmtId="0" fontId="10" fillId="0" borderId="4" xfId="10" applyFont="1" applyFill="1" applyBorder="1" applyAlignment="1">
      <alignment horizontal="center" vertical="center"/>
    </xf>
    <xf numFmtId="0" fontId="10" fillId="0" borderId="0" xfId="10" applyFont="1" applyFill="1" applyAlignment="1">
      <alignment vertical="center"/>
    </xf>
    <xf numFmtId="0" fontId="10" fillId="0" borderId="0" xfId="10" applyFont="1" applyBorder="1" applyAlignment="1">
      <alignment vertical="center"/>
    </xf>
    <xf numFmtId="0" fontId="10" fillId="3" borderId="4" xfId="0" applyFont="1" applyFill="1" applyBorder="1" applyAlignment="1">
      <alignment horizontal="center" vertical="top" wrapText="1"/>
    </xf>
    <xf numFmtId="0" fontId="10" fillId="3" borderId="4" xfId="10" applyFont="1" applyFill="1" applyBorder="1" applyAlignment="1">
      <alignment horizontal="left" vertical="top" wrapText="1"/>
    </xf>
    <xf numFmtId="0" fontId="10" fillId="3" borderId="4" xfId="0" quotePrefix="1" applyFont="1" applyFill="1" applyBorder="1" applyAlignment="1">
      <alignment horizontal="left" vertical="top" wrapText="1"/>
    </xf>
    <xf numFmtId="0" fontId="10" fillId="0" borderId="14" xfId="0" applyFont="1" applyBorder="1" applyAlignment="1">
      <alignment horizontal="center" vertical="center" wrapText="1"/>
    </xf>
    <xf numFmtId="0" fontId="10" fillId="0" borderId="16" xfId="0" applyFont="1" applyBorder="1" applyAlignment="1">
      <alignment horizontal="center" vertical="center" wrapText="1"/>
    </xf>
    <xf numFmtId="0" fontId="10" fillId="3" borderId="14" xfId="0" applyFont="1" applyFill="1" applyBorder="1" applyAlignment="1">
      <alignment horizontal="center" vertical="top" wrapText="1"/>
    </xf>
    <xf numFmtId="0" fontId="10" fillId="3" borderId="16" xfId="0" applyFont="1" applyFill="1" applyBorder="1" applyAlignment="1">
      <alignment horizontal="center" vertical="top" wrapText="1"/>
    </xf>
    <xf numFmtId="0" fontId="10" fillId="0" borderId="15" xfId="0" applyFont="1" applyBorder="1" applyAlignment="1">
      <alignment horizontal="center" vertical="center" wrapText="1"/>
    </xf>
    <xf numFmtId="0" fontId="10" fillId="3" borderId="15" xfId="0" applyFont="1" applyFill="1" applyBorder="1" applyAlignment="1">
      <alignment horizontal="center" vertical="top" wrapText="1"/>
    </xf>
    <xf numFmtId="0" fontId="9" fillId="2" borderId="5" xfId="11" applyFont="1" applyFill="1" applyBorder="1" applyAlignment="1">
      <alignment horizontal="left" vertical="center"/>
    </xf>
    <xf numFmtId="0" fontId="9" fillId="2" borderId="2" xfId="11" applyFont="1" applyFill="1" applyBorder="1" applyAlignment="1">
      <alignment horizontal="left" vertical="center"/>
    </xf>
    <xf numFmtId="0" fontId="10" fillId="0" borderId="6" xfId="0" applyFont="1" applyBorder="1" applyAlignment="1">
      <alignment horizontal="left" vertical="center"/>
    </xf>
    <xf numFmtId="14" fontId="10" fillId="0" borderId="4" xfId="11" applyNumberFormat="1" applyFont="1" applyBorder="1" applyAlignment="1">
      <alignment horizontal="left" shrinkToFit="1"/>
    </xf>
    <xf numFmtId="0" fontId="9" fillId="2" borderId="4" xfId="11" applyFont="1" applyFill="1" applyBorder="1" applyAlignment="1">
      <alignment vertical="center"/>
    </xf>
    <xf numFmtId="0" fontId="10" fillId="0" borderId="4" xfId="11" applyFont="1" applyBorder="1" applyAlignment="1">
      <alignment horizontal="center" vertical="center"/>
    </xf>
    <xf numFmtId="0" fontId="9" fillId="2" borderId="5" xfId="10" applyFont="1" applyFill="1" applyBorder="1" applyAlignment="1">
      <alignment horizontal="left" vertical="center" wrapText="1"/>
    </xf>
    <xf numFmtId="0" fontId="9" fillId="2" borderId="2" xfId="10" applyFont="1" applyFill="1" applyBorder="1" applyAlignment="1">
      <alignment horizontal="left" vertical="center" wrapText="1"/>
    </xf>
    <xf numFmtId="0" fontId="10" fillId="0" borderId="6" xfId="0" applyFont="1" applyBorder="1" applyAlignment="1">
      <alignment horizontal="left" vertical="center" wrapText="1"/>
    </xf>
    <xf numFmtId="14" fontId="10" fillId="0" borderId="4" xfId="11" applyNumberFormat="1" applyFont="1" applyBorder="1" applyAlignment="1">
      <alignment horizontal="left" vertical="center" wrapText="1" shrinkToFit="1"/>
    </xf>
    <xf numFmtId="0" fontId="9" fillId="2" borderId="2" xfId="10" applyFont="1" applyFill="1" applyBorder="1" applyAlignment="1">
      <alignment horizontal="left" vertical="center"/>
    </xf>
    <xf numFmtId="14" fontId="10" fillId="0" borderId="4" xfId="11" applyNumberFormat="1" applyFont="1" applyBorder="1" applyAlignment="1">
      <alignment horizontal="left" vertical="center" shrinkToFit="1"/>
    </xf>
    <xf numFmtId="14" fontId="10" fillId="0" borderId="4" xfId="11" applyNumberFormat="1" applyFont="1" applyBorder="1" applyAlignment="1">
      <alignment horizontal="center" vertical="center"/>
    </xf>
    <xf numFmtId="0" fontId="9" fillId="4" borderId="4" xfId="0" applyFont="1" applyFill="1" applyBorder="1" applyAlignment="1">
      <alignment horizontal="center" vertical="center"/>
    </xf>
    <xf numFmtId="0" fontId="10" fillId="3" borderId="4" xfId="0" applyFont="1" applyFill="1" applyBorder="1" applyAlignment="1">
      <alignment horizontal="center" vertical="center" shrinkToFit="1"/>
    </xf>
    <xf numFmtId="0" fontId="10" fillId="0" borderId="4" xfId="0" applyFont="1" applyBorder="1" applyAlignment="1">
      <alignment horizontal="center" vertical="center"/>
    </xf>
    <xf numFmtId="0" fontId="10" fillId="0" borderId="4" xfId="0" applyFont="1" applyBorder="1" applyAlignment="1">
      <alignment vertical="center"/>
    </xf>
    <xf numFmtId="0" fontId="10" fillId="0" borderId="4" xfId="0" applyFont="1" applyBorder="1" applyAlignment="1">
      <alignment horizontal="center" vertical="center" shrinkToFit="1"/>
    </xf>
    <xf numFmtId="14" fontId="10" fillId="0" borderId="4" xfId="0" applyNumberFormat="1" applyFont="1" applyBorder="1" applyAlignment="1">
      <alignment horizontal="center" vertical="center" shrinkToFit="1"/>
    </xf>
    <xf numFmtId="0" fontId="10" fillId="0" borderId="5" xfId="0" applyFont="1" applyFill="1" applyBorder="1" applyAlignment="1">
      <alignment horizontal="left" vertical="center"/>
    </xf>
    <xf numFmtId="0" fontId="10" fillId="0" borderId="6" xfId="0" applyFont="1" applyFill="1" applyBorder="1" applyAlignment="1">
      <alignment horizontal="left" vertical="center"/>
    </xf>
    <xf numFmtId="14" fontId="10" fillId="3" borderId="5" xfId="11" applyNumberFormat="1" applyFont="1" applyFill="1" applyBorder="1" applyAlignment="1">
      <alignment horizontal="left" vertical="center" wrapText="1" shrinkToFit="1"/>
    </xf>
    <xf numFmtId="14" fontId="10" fillId="3" borderId="6" xfId="11" applyNumberFormat="1" applyFont="1" applyFill="1" applyBorder="1" applyAlignment="1">
      <alignment horizontal="left" vertical="center" wrapText="1" shrinkToFit="1"/>
    </xf>
    <xf numFmtId="14" fontId="10" fillId="0" borderId="4" xfId="11" applyNumberFormat="1" applyFont="1" applyFill="1" applyBorder="1" applyAlignment="1">
      <alignment horizontal="left" vertical="center" wrapText="1" shrinkToFit="1"/>
    </xf>
    <xf numFmtId="0" fontId="9" fillId="3" borderId="4" xfId="0" applyFont="1" applyFill="1" applyBorder="1" applyAlignment="1">
      <alignment horizontal="center" vertical="center"/>
    </xf>
    <xf numFmtId="0" fontId="10" fillId="4" borderId="4" xfId="0" applyFont="1" applyFill="1" applyBorder="1" applyAlignment="1">
      <alignment vertical="center"/>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xf>
    <xf numFmtId="0" fontId="10" fillId="4" borderId="9" xfId="0" applyFont="1" applyFill="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Border="1" applyAlignment="1">
      <alignment horizontal="center" vertical="center"/>
    </xf>
    <xf numFmtId="0" fontId="10"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9" fillId="4" borderId="3" xfId="0" applyFont="1" applyFill="1" applyBorder="1" applyAlignment="1">
      <alignment horizontal="center" vertical="center"/>
    </xf>
    <xf numFmtId="0" fontId="10" fillId="4" borderId="13" xfId="0" applyFont="1" applyFill="1" applyBorder="1" applyAlignment="1">
      <alignment horizontal="center" vertical="center"/>
    </xf>
  </cellXfs>
  <cellStyles count="15">
    <cellStyle name="Calc Currency (0)" xfId="1"/>
    <cellStyle name="Currency [0] 2" xfId="14"/>
    <cellStyle name="entry" xfId="2"/>
    <cellStyle name="Header1" xfId="3"/>
    <cellStyle name="Header2" xfId="4"/>
    <cellStyle name="Normal" xfId="0" builtinId="0"/>
    <cellStyle name="Normal 2" xfId="13"/>
    <cellStyle name="price" xfId="5"/>
    <cellStyle name="revised" xfId="6"/>
    <cellStyle name="section" xfId="7"/>
    <cellStyle name="title" xfId="8"/>
    <cellStyle name="ハイパーリンク_デシジョンテーブルフォーマット改" xfId="9"/>
    <cellStyle name="標準 2" xfId="12"/>
    <cellStyle name="標準_04 単体試験項目表" xfId="10"/>
    <cellStyle name="標準_コピー ～ 関数定義書" xfId="1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66"/>
  <sheetViews>
    <sheetView showGridLines="0" tabSelected="1" topLeftCell="A47" zoomScale="85" zoomScaleNormal="85" zoomScaleSheetLayoutView="80" zoomScalePageLayoutView="80" workbookViewId="0">
      <selection activeCell="B47" sqref="B47:B54"/>
    </sheetView>
  </sheetViews>
  <sheetFormatPr defaultColWidth="17.53125" defaultRowHeight="14.25"/>
  <cols>
    <col min="1" max="1" width="5.46484375" style="2" customWidth="1"/>
    <col min="2" max="2" width="16.06640625" style="3" customWidth="1"/>
    <col min="3" max="3" width="5.46484375" style="3" customWidth="1"/>
    <col min="4" max="4" width="26.46484375" style="3" customWidth="1"/>
    <col min="5" max="5" width="38.53125" style="3" customWidth="1"/>
    <col min="6" max="6" width="37.265625" style="3" customWidth="1"/>
    <col min="7" max="7" width="51.265625" style="3" customWidth="1"/>
    <col min="8" max="16384" width="17.53125" style="3"/>
  </cols>
  <sheetData>
    <row r="1" spans="1:15" s="1" customFormat="1" ht="13.5" customHeight="1">
      <c r="A1" s="66" t="s">
        <v>0</v>
      </c>
      <c r="B1" s="67"/>
      <c r="C1" s="68"/>
      <c r="D1" s="64" t="s">
        <v>1</v>
      </c>
      <c r="E1" s="64"/>
      <c r="F1" s="64" t="s">
        <v>2</v>
      </c>
      <c r="G1" s="64"/>
      <c r="H1" s="53" t="s">
        <v>3</v>
      </c>
      <c r="I1" s="53"/>
      <c r="J1" s="53"/>
      <c r="K1" s="65"/>
      <c r="L1" s="53" t="s">
        <v>4</v>
      </c>
      <c r="M1" s="53"/>
      <c r="N1" s="53" t="s">
        <v>5</v>
      </c>
      <c r="O1" s="53"/>
    </row>
    <row r="2" spans="1:15" s="1" customFormat="1">
      <c r="A2" s="69"/>
      <c r="B2" s="70"/>
      <c r="C2" s="71"/>
      <c r="D2" s="54" t="s">
        <v>6</v>
      </c>
      <c r="E2" s="54"/>
      <c r="F2" s="54" t="s">
        <v>7</v>
      </c>
      <c r="G2" s="54"/>
      <c r="H2" s="55" t="s">
        <v>8</v>
      </c>
      <c r="I2" s="55"/>
      <c r="J2" s="55"/>
      <c r="K2" s="56"/>
      <c r="L2" s="57" t="s">
        <v>9</v>
      </c>
      <c r="M2" s="57"/>
      <c r="N2" s="58">
        <v>45957</v>
      </c>
      <c r="O2" s="57"/>
    </row>
    <row r="3" spans="1:15" s="1" customFormat="1">
      <c r="A3" s="69"/>
      <c r="B3" s="70"/>
      <c r="C3" s="71"/>
      <c r="D3" s="64" t="s">
        <v>10</v>
      </c>
      <c r="E3" s="64"/>
      <c r="F3" s="64" t="s">
        <v>11</v>
      </c>
      <c r="G3" s="64"/>
      <c r="H3" s="53" t="s">
        <v>12</v>
      </c>
      <c r="I3" s="53"/>
      <c r="J3" s="53"/>
      <c r="K3" s="65"/>
      <c r="L3" s="53" t="s">
        <v>13</v>
      </c>
      <c r="M3" s="53"/>
      <c r="N3" s="53" t="s">
        <v>14</v>
      </c>
      <c r="O3" s="53"/>
    </row>
    <row r="4" spans="1:15" s="1" customFormat="1">
      <c r="A4" s="72"/>
      <c r="B4" s="73"/>
      <c r="C4" s="74"/>
      <c r="D4" s="54" t="s">
        <v>8</v>
      </c>
      <c r="E4" s="54"/>
      <c r="F4" s="54"/>
      <c r="G4" s="54"/>
      <c r="H4" s="55"/>
      <c r="I4" s="55"/>
      <c r="J4" s="55"/>
      <c r="K4" s="56"/>
      <c r="L4" s="57"/>
      <c r="M4" s="57"/>
      <c r="N4" s="58"/>
      <c r="O4" s="57"/>
    </row>
    <row r="5" spans="1:15">
      <c r="D5" s="4"/>
      <c r="E5" s="4"/>
      <c r="F5" s="4"/>
      <c r="G5" s="4"/>
    </row>
    <row r="6" spans="1:15" ht="13.5" customHeight="1">
      <c r="A6" s="5" t="s">
        <v>15</v>
      </c>
      <c r="B6" s="59" t="s">
        <v>16</v>
      </c>
      <c r="C6" s="60"/>
      <c r="D6" s="6" t="s">
        <v>17</v>
      </c>
      <c r="E6" s="61"/>
      <c r="F6" s="62"/>
      <c r="G6" s="6" t="s">
        <v>18</v>
      </c>
      <c r="H6" s="63"/>
      <c r="I6" s="63"/>
      <c r="J6" s="63"/>
      <c r="K6" s="63"/>
      <c r="L6" s="63"/>
      <c r="M6" s="63"/>
      <c r="N6" s="63"/>
      <c r="O6" s="63"/>
    </row>
    <row r="7" spans="1:15" ht="24.75" customHeight="1">
      <c r="A7" s="46" t="s">
        <v>19</v>
      </c>
      <c r="B7" s="47"/>
      <c r="C7" s="48"/>
      <c r="D7" s="49" t="s">
        <v>20</v>
      </c>
      <c r="E7" s="49"/>
      <c r="F7" s="49"/>
      <c r="G7" s="49"/>
      <c r="H7" s="49"/>
      <c r="I7" s="49"/>
      <c r="J7" s="49"/>
      <c r="K7" s="49"/>
      <c r="L7" s="49"/>
      <c r="M7" s="49"/>
      <c r="N7" s="49"/>
      <c r="O7" s="49"/>
    </row>
    <row r="8" spans="1:15" ht="24.75" customHeight="1">
      <c r="A8" s="46" t="s">
        <v>21</v>
      </c>
      <c r="B8" s="50"/>
      <c r="C8" s="42"/>
      <c r="D8" s="49" t="s">
        <v>22</v>
      </c>
      <c r="E8" s="49"/>
      <c r="F8" s="49"/>
      <c r="G8" s="49"/>
      <c r="H8" s="49"/>
      <c r="I8" s="49"/>
      <c r="J8" s="49"/>
      <c r="K8" s="49"/>
      <c r="L8" s="49"/>
      <c r="M8" s="49"/>
      <c r="N8" s="49"/>
      <c r="O8" s="49"/>
    </row>
    <row r="9" spans="1:15" ht="13.5" customHeight="1">
      <c r="A9" s="40" t="s">
        <v>23</v>
      </c>
      <c r="B9" s="41"/>
      <c r="C9" s="42"/>
      <c r="D9" s="51" t="str">
        <f ca="1">MID(CELL("filename"),FIND("[",CELL("filename"))+1,FIND("]",CELL("filename"))-FIND("[",CELL("filename"))-1)</f>
        <v>NDMM_SD_F-19_D-UT002_テストケース表UT_SC-ITI88-01-Infra Inventory Setting(UTテストケースドキュメント).xlsx</v>
      </c>
      <c r="E9" s="51"/>
      <c r="F9" s="51"/>
      <c r="G9" s="51"/>
      <c r="H9" s="51"/>
      <c r="I9" s="51"/>
      <c r="J9" s="44" t="s">
        <v>24</v>
      </c>
      <c r="K9" s="44"/>
      <c r="L9" s="44"/>
      <c r="M9" s="52"/>
      <c r="N9" s="52"/>
      <c r="O9" s="52"/>
    </row>
    <row r="10" spans="1:15" ht="13.5" customHeight="1">
      <c r="A10" s="40" t="s">
        <v>25</v>
      </c>
      <c r="B10" s="41"/>
      <c r="C10" s="42"/>
      <c r="D10" s="43"/>
      <c r="E10" s="43"/>
      <c r="F10" s="43"/>
      <c r="G10" s="43"/>
      <c r="H10" s="43"/>
      <c r="I10" s="43"/>
      <c r="J10" s="44" t="s">
        <v>26</v>
      </c>
      <c r="K10" s="44"/>
      <c r="L10" s="44"/>
      <c r="M10" s="45"/>
      <c r="N10" s="45"/>
      <c r="O10" s="45"/>
    </row>
    <row r="11" spans="1:15" s="11" customFormat="1">
      <c r="A11" s="7"/>
      <c r="B11" s="7"/>
      <c r="C11" s="7"/>
      <c r="D11" s="7"/>
      <c r="E11" s="8"/>
      <c r="F11" s="8"/>
      <c r="G11" s="9"/>
      <c r="H11" s="10"/>
    </row>
    <row r="12" spans="1:15" s="11" customFormat="1" ht="76.25" customHeight="1">
      <c r="A12" s="12" t="s">
        <v>31</v>
      </c>
      <c r="B12" s="13" t="s">
        <v>32</v>
      </c>
      <c r="C12" s="12" t="s">
        <v>31</v>
      </c>
      <c r="D12" s="12" t="s">
        <v>33</v>
      </c>
      <c r="E12" s="12" t="s">
        <v>34</v>
      </c>
      <c r="F12" s="12" t="s">
        <v>35</v>
      </c>
      <c r="G12" s="12" t="s">
        <v>36</v>
      </c>
      <c r="H12" s="12" t="s">
        <v>37</v>
      </c>
      <c r="I12" s="12" t="s">
        <v>38</v>
      </c>
      <c r="J12" s="12" t="s">
        <v>39</v>
      </c>
      <c r="K12" s="12" t="s">
        <v>40</v>
      </c>
      <c r="L12" s="12" t="s">
        <v>41</v>
      </c>
      <c r="M12" s="12" t="s">
        <v>42</v>
      </c>
      <c r="N12" s="12" t="s">
        <v>44</v>
      </c>
      <c r="O12" s="12" t="s">
        <v>43</v>
      </c>
    </row>
    <row r="13" spans="1:15" s="11" customFormat="1" ht="109.05" customHeight="1">
      <c r="A13" s="14">
        <v>1</v>
      </c>
      <c r="B13" s="15" t="s">
        <v>30</v>
      </c>
      <c r="C13" s="16">
        <v>1</v>
      </c>
      <c r="D13" s="32" t="s">
        <v>45</v>
      </c>
      <c r="E13" s="32" t="s">
        <v>64</v>
      </c>
      <c r="F13" s="32" t="s">
        <v>183</v>
      </c>
      <c r="G13" s="32" t="s">
        <v>46</v>
      </c>
      <c r="H13" s="17"/>
      <c r="I13" s="18"/>
      <c r="J13" s="19"/>
      <c r="K13" s="20"/>
      <c r="L13" s="17"/>
      <c r="M13" s="18"/>
      <c r="N13" s="18"/>
      <c r="O13" s="21"/>
    </row>
    <row r="14" spans="1:15" s="11" customFormat="1" ht="161" customHeight="1">
      <c r="A14" s="22"/>
      <c r="B14" s="23"/>
      <c r="C14" s="16">
        <v>2</v>
      </c>
      <c r="D14" s="32" t="s">
        <v>54</v>
      </c>
      <c r="E14" s="32" t="s">
        <v>62</v>
      </c>
      <c r="F14" s="32" t="s">
        <v>183</v>
      </c>
      <c r="G14" s="32" t="s">
        <v>55</v>
      </c>
      <c r="H14" s="17"/>
      <c r="I14" s="18"/>
      <c r="J14" s="19"/>
      <c r="K14" s="20"/>
      <c r="L14" s="17"/>
      <c r="M14" s="18"/>
      <c r="N14" s="18"/>
      <c r="O14" s="21"/>
    </row>
    <row r="15" spans="1:15" s="11" customFormat="1" ht="156.75">
      <c r="A15" s="22"/>
      <c r="B15" s="23"/>
      <c r="C15" s="16">
        <v>3</v>
      </c>
      <c r="D15" s="32" t="s">
        <v>56</v>
      </c>
      <c r="E15" s="32" t="s">
        <v>62</v>
      </c>
      <c r="F15" s="32" t="s">
        <v>183</v>
      </c>
      <c r="G15" s="32" t="s">
        <v>47</v>
      </c>
      <c r="H15" s="17"/>
      <c r="I15" s="18"/>
      <c r="J15" s="19"/>
      <c r="K15" s="20"/>
      <c r="L15" s="17"/>
      <c r="M15" s="18"/>
      <c r="N15" s="18"/>
      <c r="O15" s="21"/>
    </row>
    <row r="16" spans="1:15" s="11" customFormat="1" ht="156.75">
      <c r="A16" s="22"/>
      <c r="B16" s="23"/>
      <c r="C16" s="16">
        <v>4</v>
      </c>
      <c r="D16" s="32" t="s">
        <v>59</v>
      </c>
      <c r="E16" s="32" t="s">
        <v>62</v>
      </c>
      <c r="F16" s="32" t="s">
        <v>183</v>
      </c>
      <c r="G16" s="32" t="s">
        <v>57</v>
      </c>
      <c r="H16" s="17"/>
      <c r="I16" s="18"/>
      <c r="J16" s="19"/>
      <c r="K16" s="20"/>
      <c r="L16" s="17"/>
      <c r="M16" s="18"/>
      <c r="N16" s="18"/>
      <c r="O16" s="21"/>
    </row>
    <row r="17" spans="1:15" s="11" customFormat="1" ht="156.75">
      <c r="A17" s="22"/>
      <c r="B17" s="23"/>
      <c r="C17" s="16">
        <v>5</v>
      </c>
      <c r="D17" s="32" t="s">
        <v>48</v>
      </c>
      <c r="E17" s="32" t="s">
        <v>63</v>
      </c>
      <c r="F17" s="32" t="s">
        <v>183</v>
      </c>
      <c r="G17" s="32" t="s">
        <v>69</v>
      </c>
      <c r="H17" s="17"/>
      <c r="I17" s="18"/>
      <c r="J17" s="19"/>
      <c r="K17" s="20"/>
      <c r="L17" s="17"/>
      <c r="M17" s="18"/>
      <c r="N17" s="18"/>
      <c r="O17" s="21"/>
    </row>
    <row r="18" spans="1:15" s="11" customFormat="1" ht="142.5">
      <c r="A18" s="22"/>
      <c r="B18" s="23"/>
      <c r="C18" s="16">
        <v>6</v>
      </c>
      <c r="D18" s="32" t="s">
        <v>58</v>
      </c>
      <c r="E18" s="32" t="s">
        <v>65</v>
      </c>
      <c r="F18" s="32" t="s">
        <v>183</v>
      </c>
      <c r="G18" s="32" t="s">
        <v>68</v>
      </c>
      <c r="H18" s="17"/>
      <c r="I18" s="18"/>
      <c r="J18" s="19"/>
      <c r="K18" s="20"/>
      <c r="L18" s="17"/>
      <c r="M18" s="18"/>
      <c r="N18" s="18"/>
      <c r="O18" s="21"/>
    </row>
    <row r="19" spans="1:15" s="11" customFormat="1" ht="197" customHeight="1">
      <c r="A19" s="22"/>
      <c r="B19" s="23"/>
      <c r="C19" s="16">
        <v>7</v>
      </c>
      <c r="D19" s="32" t="s">
        <v>60</v>
      </c>
      <c r="E19" s="32" t="s">
        <v>66</v>
      </c>
      <c r="F19" s="32" t="s">
        <v>183</v>
      </c>
      <c r="G19" s="32" t="s">
        <v>49</v>
      </c>
      <c r="H19" s="17"/>
      <c r="I19" s="18"/>
      <c r="J19" s="19"/>
      <c r="K19" s="20"/>
      <c r="L19" s="17"/>
      <c r="M19" s="18"/>
      <c r="N19" s="18"/>
      <c r="O19" s="21"/>
    </row>
    <row r="20" spans="1:15" s="11" customFormat="1" ht="113" customHeight="1">
      <c r="A20" s="22"/>
      <c r="B20" s="23"/>
      <c r="C20" s="16">
        <v>8</v>
      </c>
      <c r="D20" s="32" t="s">
        <v>61</v>
      </c>
      <c r="E20" s="32" t="s">
        <v>66</v>
      </c>
      <c r="F20" s="32" t="s">
        <v>183</v>
      </c>
      <c r="G20" s="32" t="s">
        <v>50</v>
      </c>
      <c r="H20" s="17"/>
      <c r="I20" s="18"/>
      <c r="J20" s="19"/>
      <c r="K20" s="20"/>
      <c r="L20" s="17"/>
      <c r="M20" s="18"/>
      <c r="N20" s="18"/>
      <c r="O20" s="21"/>
    </row>
    <row r="21" spans="1:15" s="11" customFormat="1" ht="235.05" customHeight="1">
      <c r="A21" s="24">
        <f>MAX($A$13:A20)+1</f>
        <v>2</v>
      </c>
      <c r="B21" s="31" t="s">
        <v>51</v>
      </c>
      <c r="C21" s="16">
        <v>9</v>
      </c>
      <c r="D21" s="32" t="s">
        <v>124</v>
      </c>
      <c r="E21" s="32" t="s">
        <v>130</v>
      </c>
      <c r="F21" s="32" t="s">
        <v>183</v>
      </c>
      <c r="G21" s="32" t="s">
        <v>163</v>
      </c>
      <c r="H21" s="17"/>
      <c r="I21" s="18"/>
      <c r="J21" s="19"/>
      <c r="K21" s="20"/>
      <c r="L21" s="17"/>
      <c r="M21" s="18"/>
      <c r="N21" s="18"/>
      <c r="O21" s="21"/>
    </row>
    <row r="22" spans="1:15" s="11" customFormat="1" ht="163.5" customHeight="1">
      <c r="A22" s="24">
        <f>MAX($A$13:A21)+1</f>
        <v>3</v>
      </c>
      <c r="B22" s="25" t="s">
        <v>52</v>
      </c>
      <c r="C22" s="16">
        <v>10</v>
      </c>
      <c r="D22" s="32" t="s">
        <v>123</v>
      </c>
      <c r="E22" s="32" t="s">
        <v>129</v>
      </c>
      <c r="F22" s="32" t="s">
        <v>148</v>
      </c>
      <c r="G22" s="32" t="s">
        <v>164</v>
      </c>
      <c r="H22" s="17"/>
      <c r="I22" s="18"/>
      <c r="J22" s="19"/>
      <c r="K22" s="20"/>
      <c r="L22" s="17"/>
      <c r="M22" s="18"/>
      <c r="N22" s="18"/>
      <c r="O22" s="21"/>
    </row>
    <row r="23" spans="1:15" s="11" customFormat="1" ht="160.5" customHeight="1">
      <c r="A23" s="24">
        <f>MAX($A$13:A22)+1</f>
        <v>4</v>
      </c>
      <c r="B23" s="25" t="s">
        <v>53</v>
      </c>
      <c r="C23" s="16">
        <v>11</v>
      </c>
      <c r="D23" s="32" t="s">
        <v>122</v>
      </c>
      <c r="E23" s="32" t="s">
        <v>128</v>
      </c>
      <c r="F23" s="32" t="s">
        <v>147</v>
      </c>
      <c r="G23" s="32" t="s">
        <v>165</v>
      </c>
      <c r="H23" s="17"/>
      <c r="I23" s="18"/>
      <c r="J23" s="19"/>
      <c r="K23" s="20"/>
      <c r="L23" s="17"/>
      <c r="M23" s="18"/>
      <c r="N23" s="18"/>
      <c r="O23" s="21" t="s">
        <v>28</v>
      </c>
    </row>
    <row r="24" spans="1:15" s="11" customFormat="1" ht="128.25">
      <c r="A24" s="24">
        <f>MAX($A$13:A23)+1</f>
        <v>5</v>
      </c>
      <c r="B24" s="25" t="s">
        <v>70</v>
      </c>
      <c r="C24" s="16">
        <v>12</v>
      </c>
      <c r="D24" s="32" t="s">
        <v>121</v>
      </c>
      <c r="E24" s="32" t="s">
        <v>127</v>
      </c>
      <c r="F24" s="32" t="s">
        <v>149</v>
      </c>
      <c r="G24" s="32" t="s">
        <v>166</v>
      </c>
      <c r="H24" s="17"/>
      <c r="I24" s="18"/>
      <c r="J24" s="19"/>
      <c r="K24" s="20"/>
      <c r="L24" s="17"/>
      <c r="M24" s="18"/>
      <c r="N24" s="18"/>
      <c r="O24" s="21"/>
    </row>
    <row r="25" spans="1:15" s="11" customFormat="1" ht="316.05" customHeight="1">
      <c r="A25" s="34">
        <v>6</v>
      </c>
      <c r="B25" s="36" t="s">
        <v>71</v>
      </c>
      <c r="C25" s="16">
        <v>13</v>
      </c>
      <c r="D25" s="32" t="s">
        <v>120</v>
      </c>
      <c r="E25" s="32" t="s">
        <v>126</v>
      </c>
      <c r="F25" s="32" t="s">
        <v>183</v>
      </c>
      <c r="G25" s="32" t="s">
        <v>167</v>
      </c>
      <c r="H25" s="17"/>
      <c r="I25" s="18"/>
      <c r="J25" s="19"/>
      <c r="K25" s="20"/>
      <c r="L25" s="17"/>
      <c r="M25" s="18"/>
      <c r="N25" s="18"/>
      <c r="O25" s="21"/>
    </row>
    <row r="26" spans="1:15" s="11" customFormat="1" ht="304.05" customHeight="1">
      <c r="A26" s="38"/>
      <c r="B26" s="39"/>
      <c r="C26" s="16">
        <v>14</v>
      </c>
      <c r="D26" s="32" t="s">
        <v>111</v>
      </c>
      <c r="E26" s="32" t="s">
        <v>125</v>
      </c>
      <c r="F26" s="32" t="s">
        <v>183</v>
      </c>
      <c r="G26" s="32" t="s">
        <v>168</v>
      </c>
      <c r="H26" s="17"/>
      <c r="I26" s="18"/>
      <c r="J26" s="19"/>
      <c r="K26" s="20"/>
      <c r="L26" s="17"/>
      <c r="M26" s="18"/>
      <c r="N26" s="18"/>
      <c r="O26" s="21" t="s">
        <v>29</v>
      </c>
    </row>
    <row r="27" spans="1:15" s="11" customFormat="1" ht="168.5" customHeight="1">
      <c r="A27" s="38"/>
      <c r="B27" s="39"/>
      <c r="C27" s="16">
        <v>15</v>
      </c>
      <c r="D27" s="32" t="s">
        <v>119</v>
      </c>
      <c r="E27" s="32" t="s">
        <v>131</v>
      </c>
      <c r="F27" s="32" t="s">
        <v>183</v>
      </c>
      <c r="G27" s="32" t="s">
        <v>169</v>
      </c>
      <c r="H27" s="17"/>
      <c r="I27" s="18"/>
      <c r="J27" s="19"/>
      <c r="K27" s="20"/>
      <c r="L27" s="17"/>
      <c r="M27" s="18"/>
      <c r="N27" s="18"/>
      <c r="O27" s="21"/>
    </row>
    <row r="28" spans="1:15" s="11" customFormat="1" ht="171">
      <c r="A28" s="38"/>
      <c r="B28" s="39"/>
      <c r="C28" s="16">
        <v>16</v>
      </c>
      <c r="D28" s="32" t="s">
        <v>118</v>
      </c>
      <c r="E28" s="32" t="s">
        <v>132</v>
      </c>
      <c r="F28" s="32" t="s">
        <v>183</v>
      </c>
      <c r="G28" s="32" t="s">
        <v>169</v>
      </c>
      <c r="H28" s="17"/>
      <c r="I28" s="18"/>
      <c r="J28" s="19"/>
      <c r="K28" s="20"/>
      <c r="L28" s="17"/>
      <c r="M28" s="18"/>
      <c r="N28" s="18"/>
      <c r="O28" s="21"/>
    </row>
    <row r="29" spans="1:15" s="11" customFormat="1" ht="171">
      <c r="A29" s="38"/>
      <c r="B29" s="39"/>
      <c r="C29" s="16">
        <v>17</v>
      </c>
      <c r="D29" s="32" t="s">
        <v>117</v>
      </c>
      <c r="E29" s="32" t="s">
        <v>131</v>
      </c>
      <c r="F29" s="32" t="s">
        <v>183</v>
      </c>
      <c r="G29" s="32" t="s">
        <v>169</v>
      </c>
      <c r="H29" s="17"/>
      <c r="I29" s="18"/>
      <c r="J29" s="19"/>
      <c r="K29" s="20"/>
      <c r="L29" s="17"/>
      <c r="M29" s="18"/>
      <c r="N29" s="18"/>
      <c r="O29" s="21"/>
    </row>
    <row r="30" spans="1:15" s="11" customFormat="1" ht="171">
      <c r="A30" s="38"/>
      <c r="B30" s="39"/>
      <c r="C30" s="16">
        <v>18</v>
      </c>
      <c r="D30" s="32" t="s">
        <v>105</v>
      </c>
      <c r="E30" s="32" t="s">
        <v>131</v>
      </c>
      <c r="F30" s="32" t="s">
        <v>183</v>
      </c>
      <c r="G30" s="32" t="s">
        <v>169</v>
      </c>
      <c r="H30" s="17"/>
      <c r="I30" s="18"/>
      <c r="J30" s="19"/>
      <c r="K30" s="20"/>
      <c r="L30" s="17"/>
      <c r="M30" s="18"/>
      <c r="N30" s="18"/>
      <c r="O30" s="21"/>
    </row>
    <row r="31" spans="1:15" s="11" customFormat="1" ht="171">
      <c r="A31" s="38"/>
      <c r="B31" s="39"/>
      <c r="C31" s="16">
        <v>19</v>
      </c>
      <c r="D31" s="32" t="s">
        <v>116</v>
      </c>
      <c r="E31" s="32" t="s">
        <v>133</v>
      </c>
      <c r="F31" s="32" t="s">
        <v>183</v>
      </c>
      <c r="G31" s="32" t="s">
        <v>169</v>
      </c>
      <c r="H31" s="17"/>
      <c r="I31" s="18"/>
      <c r="J31" s="19"/>
      <c r="K31" s="20"/>
      <c r="L31" s="17"/>
      <c r="M31" s="18"/>
      <c r="N31" s="18"/>
      <c r="O31" s="21"/>
    </row>
    <row r="32" spans="1:15" s="11" customFormat="1" ht="171">
      <c r="A32" s="38"/>
      <c r="B32" s="39"/>
      <c r="C32" s="16">
        <v>20</v>
      </c>
      <c r="D32" s="32" t="s">
        <v>115</v>
      </c>
      <c r="E32" s="32" t="s">
        <v>134</v>
      </c>
      <c r="F32" s="32" t="s">
        <v>183</v>
      </c>
      <c r="G32" s="32" t="s">
        <v>169</v>
      </c>
      <c r="H32" s="17"/>
      <c r="I32" s="18"/>
      <c r="J32" s="19"/>
      <c r="K32" s="20"/>
      <c r="L32" s="17"/>
      <c r="M32" s="18"/>
      <c r="N32" s="18"/>
      <c r="O32" s="21"/>
    </row>
    <row r="33" spans="1:15" s="11" customFormat="1" ht="171">
      <c r="A33" s="38"/>
      <c r="B33" s="39"/>
      <c r="C33" s="16">
        <v>21</v>
      </c>
      <c r="D33" s="32" t="s">
        <v>114</v>
      </c>
      <c r="E33" s="32" t="s">
        <v>131</v>
      </c>
      <c r="F33" s="32" t="s">
        <v>183</v>
      </c>
      <c r="G33" s="32" t="s">
        <v>169</v>
      </c>
      <c r="H33" s="17"/>
      <c r="I33" s="18"/>
      <c r="J33" s="19"/>
      <c r="K33" s="20"/>
      <c r="L33" s="17"/>
      <c r="M33" s="18"/>
      <c r="N33" s="18"/>
      <c r="O33" s="21"/>
    </row>
    <row r="34" spans="1:15" s="11" customFormat="1" ht="249.5" customHeight="1">
      <c r="A34" s="38"/>
      <c r="B34" s="39"/>
      <c r="C34" s="16">
        <v>22</v>
      </c>
      <c r="D34" s="32" t="s">
        <v>113</v>
      </c>
      <c r="E34" s="32" t="s">
        <v>132</v>
      </c>
      <c r="F34" s="32" t="s">
        <v>183</v>
      </c>
      <c r="G34" s="32" t="s">
        <v>169</v>
      </c>
      <c r="H34" s="17"/>
      <c r="I34" s="18"/>
      <c r="J34" s="19"/>
      <c r="K34" s="20"/>
      <c r="L34" s="17"/>
      <c r="M34" s="18"/>
      <c r="N34" s="18"/>
      <c r="O34" s="21"/>
    </row>
    <row r="35" spans="1:15" s="11" customFormat="1" ht="171">
      <c r="A35" s="14">
        <f>MAX($A$13:A33)+1</f>
        <v>7</v>
      </c>
      <c r="B35" s="15" t="s">
        <v>72</v>
      </c>
      <c r="C35" s="16">
        <v>23</v>
      </c>
      <c r="D35" s="32" t="s">
        <v>112</v>
      </c>
      <c r="E35" s="32" t="s">
        <v>131</v>
      </c>
      <c r="F35" s="32" t="s">
        <v>183</v>
      </c>
      <c r="G35" s="32" t="s">
        <v>169</v>
      </c>
      <c r="H35" s="17"/>
      <c r="I35" s="18"/>
      <c r="J35" s="19"/>
      <c r="K35" s="20"/>
      <c r="L35" s="17"/>
      <c r="M35" s="18"/>
      <c r="N35" s="18"/>
      <c r="O35" s="21"/>
    </row>
    <row r="36" spans="1:15" s="11" customFormat="1" ht="171">
      <c r="A36" s="22"/>
      <c r="B36" s="23"/>
      <c r="C36" s="16">
        <v>24</v>
      </c>
      <c r="D36" s="32" t="s">
        <v>111</v>
      </c>
      <c r="E36" s="32" t="s">
        <v>135</v>
      </c>
      <c r="F36" s="32" t="s">
        <v>183</v>
      </c>
      <c r="G36" s="32" t="s">
        <v>169</v>
      </c>
      <c r="H36" s="17"/>
      <c r="I36" s="18"/>
      <c r="J36" s="19"/>
      <c r="K36" s="20"/>
      <c r="L36" s="17"/>
      <c r="M36" s="18"/>
      <c r="N36" s="18"/>
      <c r="O36" s="21"/>
    </row>
    <row r="37" spans="1:15" s="11" customFormat="1" ht="171">
      <c r="A37" s="22"/>
      <c r="B37" s="23"/>
      <c r="C37" s="16">
        <v>25</v>
      </c>
      <c r="D37" s="32" t="s">
        <v>110</v>
      </c>
      <c r="E37" s="32" t="s">
        <v>136</v>
      </c>
      <c r="F37" s="32" t="s">
        <v>183</v>
      </c>
      <c r="G37" s="32" t="s">
        <v>169</v>
      </c>
      <c r="H37" s="17"/>
      <c r="I37" s="18"/>
      <c r="J37" s="19"/>
      <c r="K37" s="20"/>
      <c r="L37" s="17"/>
      <c r="M37" s="18"/>
      <c r="N37" s="18"/>
      <c r="O37" s="21"/>
    </row>
    <row r="38" spans="1:15" s="11" customFormat="1" ht="171">
      <c r="A38" s="22"/>
      <c r="B38" s="23"/>
      <c r="C38" s="16">
        <v>26</v>
      </c>
      <c r="D38" s="32" t="s">
        <v>109</v>
      </c>
      <c r="E38" s="32" t="s">
        <v>132</v>
      </c>
      <c r="F38" s="32" t="s">
        <v>183</v>
      </c>
      <c r="G38" s="32" t="s">
        <v>169</v>
      </c>
      <c r="H38" s="17"/>
      <c r="I38" s="18"/>
      <c r="J38" s="19"/>
      <c r="K38" s="20"/>
      <c r="L38" s="17"/>
      <c r="M38" s="18"/>
      <c r="N38" s="18"/>
      <c r="O38" s="21"/>
    </row>
    <row r="39" spans="1:15" s="11" customFormat="1" ht="171">
      <c r="A39" s="22"/>
      <c r="B39" s="23"/>
      <c r="C39" s="16">
        <v>27</v>
      </c>
      <c r="D39" s="32" t="s">
        <v>108</v>
      </c>
      <c r="E39" s="32" t="s">
        <v>136</v>
      </c>
      <c r="F39" s="32" t="s">
        <v>183</v>
      </c>
      <c r="G39" s="32" t="s">
        <v>169</v>
      </c>
      <c r="H39" s="17"/>
      <c r="I39" s="18"/>
      <c r="J39" s="19"/>
      <c r="K39" s="20"/>
      <c r="L39" s="17"/>
      <c r="M39" s="18"/>
      <c r="N39" s="18"/>
      <c r="O39" s="21"/>
    </row>
    <row r="40" spans="1:15" s="11" customFormat="1" ht="171">
      <c r="A40" s="22"/>
      <c r="B40" s="23"/>
      <c r="C40" s="16">
        <v>28</v>
      </c>
      <c r="D40" s="32" t="s">
        <v>105</v>
      </c>
      <c r="E40" s="32" t="s">
        <v>136</v>
      </c>
      <c r="F40" s="32" t="s">
        <v>183</v>
      </c>
      <c r="G40" s="32" t="s">
        <v>169</v>
      </c>
      <c r="H40" s="17"/>
      <c r="I40" s="18"/>
      <c r="J40" s="19"/>
      <c r="K40" s="20"/>
      <c r="L40" s="17"/>
      <c r="M40" s="18"/>
      <c r="N40" s="18"/>
      <c r="O40" s="21"/>
    </row>
    <row r="41" spans="1:15" s="11" customFormat="1" ht="171">
      <c r="A41" s="22"/>
      <c r="B41" s="23"/>
      <c r="C41" s="16">
        <v>29</v>
      </c>
      <c r="D41" s="32" t="s">
        <v>107</v>
      </c>
      <c r="E41" s="32" t="s">
        <v>136</v>
      </c>
      <c r="F41" s="32" t="s">
        <v>183</v>
      </c>
      <c r="G41" s="32" t="s">
        <v>169</v>
      </c>
      <c r="H41" s="17"/>
      <c r="I41" s="18"/>
      <c r="J41" s="19"/>
      <c r="K41" s="20"/>
      <c r="L41" s="17"/>
      <c r="M41" s="18"/>
      <c r="N41" s="18"/>
      <c r="O41" s="21"/>
    </row>
    <row r="42" spans="1:15" s="11" customFormat="1" ht="228">
      <c r="A42" s="22"/>
      <c r="B42" s="23"/>
      <c r="C42" s="16">
        <v>30</v>
      </c>
      <c r="D42" s="32" t="s">
        <v>106</v>
      </c>
      <c r="E42" s="32" t="s">
        <v>67</v>
      </c>
      <c r="F42" s="32" t="s">
        <v>183</v>
      </c>
      <c r="G42" s="32" t="s">
        <v>169</v>
      </c>
      <c r="H42" s="17"/>
      <c r="I42" s="18"/>
      <c r="J42" s="19"/>
      <c r="K42" s="18"/>
      <c r="L42" s="17"/>
      <c r="M42" s="18"/>
      <c r="N42" s="18"/>
      <c r="O42" s="21"/>
    </row>
    <row r="43" spans="1:15" s="11" customFormat="1" ht="171">
      <c r="A43" s="22"/>
      <c r="B43" s="23"/>
      <c r="C43" s="16">
        <v>31</v>
      </c>
      <c r="D43" s="32" t="s">
        <v>105</v>
      </c>
      <c r="E43" s="32" t="s">
        <v>137</v>
      </c>
      <c r="F43" s="32" t="s">
        <v>183</v>
      </c>
      <c r="G43" s="32" t="s">
        <v>169</v>
      </c>
      <c r="H43" s="17"/>
      <c r="I43" s="18"/>
      <c r="J43" s="19"/>
      <c r="K43" s="18"/>
      <c r="L43" s="17"/>
      <c r="M43" s="18"/>
      <c r="N43" s="18"/>
      <c r="O43" s="21"/>
    </row>
    <row r="44" spans="1:15" s="11" customFormat="1" ht="171">
      <c r="A44" s="22"/>
      <c r="B44" s="23"/>
      <c r="C44" s="16">
        <v>32</v>
      </c>
      <c r="D44" s="32" t="s">
        <v>104</v>
      </c>
      <c r="E44" s="32" t="s">
        <v>138</v>
      </c>
      <c r="F44" s="32" t="s">
        <v>150</v>
      </c>
      <c r="G44" s="32" t="s">
        <v>169</v>
      </c>
      <c r="H44" s="17"/>
      <c r="I44" s="18"/>
      <c r="J44" s="19"/>
      <c r="K44" s="18"/>
      <c r="L44" s="17"/>
      <c r="M44" s="18"/>
      <c r="N44" s="18"/>
      <c r="O44" s="21"/>
    </row>
    <row r="45" spans="1:15" s="30" customFormat="1" ht="157.5" customHeight="1">
      <c r="A45" s="34">
        <f>MAX($A$13:A35)+1</f>
        <v>8</v>
      </c>
      <c r="B45" s="36" t="s">
        <v>75</v>
      </c>
      <c r="C45" s="16">
        <v>33</v>
      </c>
      <c r="D45" s="32" t="s">
        <v>103</v>
      </c>
      <c r="E45" s="32" t="s">
        <v>139</v>
      </c>
      <c r="F45" s="32" t="s">
        <v>151</v>
      </c>
      <c r="G45" s="32" t="s">
        <v>170</v>
      </c>
      <c r="H45" s="17"/>
      <c r="I45" s="18"/>
      <c r="J45" s="19"/>
      <c r="K45" s="18"/>
      <c r="L45" s="17"/>
      <c r="M45" s="18"/>
      <c r="N45" s="18"/>
      <c r="O45" s="21"/>
    </row>
    <row r="46" spans="1:15" s="11" customFormat="1" ht="130.05000000000001" customHeight="1">
      <c r="A46" s="38"/>
      <c r="B46" s="39"/>
      <c r="C46" s="16">
        <v>34</v>
      </c>
      <c r="D46" s="32" t="s">
        <v>102</v>
      </c>
      <c r="E46" s="32" t="s">
        <v>139</v>
      </c>
      <c r="F46" s="32" t="s">
        <v>151</v>
      </c>
      <c r="G46" s="32" t="s">
        <v>170</v>
      </c>
      <c r="H46" s="17"/>
      <c r="I46" s="18"/>
      <c r="J46" s="19"/>
      <c r="K46" s="18"/>
      <c r="L46" s="17"/>
      <c r="M46" s="18"/>
      <c r="N46" s="18"/>
      <c r="O46" s="21"/>
    </row>
    <row r="47" spans="1:15" s="29" customFormat="1" ht="164.55" customHeight="1">
      <c r="A47" s="34">
        <f ca="1">MAX($A$13:A47)+1</f>
        <v>9</v>
      </c>
      <c r="B47" s="36" t="s">
        <v>76</v>
      </c>
      <c r="C47" s="16">
        <v>35</v>
      </c>
      <c r="D47" s="32" t="s">
        <v>101</v>
      </c>
      <c r="E47" s="32" t="s">
        <v>140</v>
      </c>
      <c r="F47" s="32" t="s">
        <v>152</v>
      </c>
      <c r="G47" s="32" t="s">
        <v>171</v>
      </c>
      <c r="H47" s="17"/>
      <c r="I47" s="18"/>
      <c r="J47" s="19"/>
      <c r="K47" s="27"/>
      <c r="L47" s="26"/>
      <c r="M47" s="27"/>
      <c r="N47" s="27"/>
      <c r="O47" s="21"/>
    </row>
    <row r="48" spans="1:15" s="11" customFormat="1" ht="114">
      <c r="A48" s="38"/>
      <c r="B48" s="39"/>
      <c r="C48" s="16">
        <v>36</v>
      </c>
      <c r="D48" s="32" t="s">
        <v>100</v>
      </c>
      <c r="E48" s="32" t="s">
        <v>141</v>
      </c>
      <c r="F48" s="32" t="s">
        <v>152</v>
      </c>
      <c r="G48" s="32" t="s">
        <v>172</v>
      </c>
      <c r="H48" s="17"/>
      <c r="I48" s="18"/>
      <c r="J48" s="19"/>
      <c r="K48" s="18"/>
      <c r="L48" s="17"/>
      <c r="M48" s="18"/>
      <c r="N48" s="18"/>
      <c r="O48" s="21"/>
    </row>
    <row r="49" spans="1:15" s="11" customFormat="1" ht="99.75">
      <c r="A49" s="38"/>
      <c r="B49" s="39"/>
      <c r="C49" s="16">
        <v>37</v>
      </c>
      <c r="D49" s="32" t="s">
        <v>99</v>
      </c>
      <c r="E49" s="32" t="s">
        <v>142</v>
      </c>
      <c r="F49" s="32" t="s">
        <v>153</v>
      </c>
      <c r="G49" s="32" t="s">
        <v>174</v>
      </c>
      <c r="H49" s="17"/>
      <c r="I49" s="18"/>
      <c r="J49" s="19"/>
      <c r="K49" s="18"/>
      <c r="L49" s="17"/>
      <c r="M49" s="18"/>
      <c r="N49" s="18"/>
      <c r="O49" s="21"/>
    </row>
    <row r="50" spans="1:15" s="11" customFormat="1" ht="99.75">
      <c r="A50" s="38"/>
      <c r="B50" s="39"/>
      <c r="C50" s="16">
        <v>38</v>
      </c>
      <c r="D50" s="32" t="s">
        <v>98</v>
      </c>
      <c r="E50" s="32" t="s">
        <v>143</v>
      </c>
      <c r="F50" s="32" t="s">
        <v>154</v>
      </c>
      <c r="G50" s="32" t="s">
        <v>173</v>
      </c>
      <c r="H50" s="17"/>
      <c r="I50" s="18"/>
      <c r="J50" s="19"/>
      <c r="K50" s="18"/>
      <c r="L50" s="17"/>
      <c r="M50" s="18"/>
      <c r="N50" s="18"/>
      <c r="O50" s="21"/>
    </row>
    <row r="51" spans="1:15" s="11" customFormat="1" ht="99.75">
      <c r="A51" s="38"/>
      <c r="B51" s="39"/>
      <c r="C51" s="16">
        <v>39</v>
      </c>
      <c r="D51" s="32" t="s">
        <v>97</v>
      </c>
      <c r="E51" s="32" t="s">
        <v>144</v>
      </c>
      <c r="F51" s="32" t="s">
        <v>155</v>
      </c>
      <c r="G51" s="32" t="s">
        <v>175</v>
      </c>
      <c r="H51" s="17"/>
      <c r="I51" s="18"/>
      <c r="J51" s="19"/>
      <c r="K51" s="18"/>
      <c r="L51" s="17"/>
      <c r="M51" s="18"/>
      <c r="N51" s="18"/>
      <c r="O51" s="21"/>
    </row>
    <row r="52" spans="1:15" s="11" customFormat="1" ht="99.75">
      <c r="A52" s="38"/>
      <c r="B52" s="39"/>
      <c r="C52" s="16">
        <v>40</v>
      </c>
      <c r="D52" s="32" t="s">
        <v>96</v>
      </c>
      <c r="E52" s="32" t="s">
        <v>144</v>
      </c>
      <c r="F52" s="32" t="s">
        <v>153</v>
      </c>
      <c r="G52" s="32" t="s">
        <v>176</v>
      </c>
      <c r="H52" s="17"/>
      <c r="I52" s="18"/>
      <c r="J52" s="19"/>
      <c r="K52" s="18"/>
      <c r="L52" s="17"/>
      <c r="M52" s="18"/>
      <c r="N52" s="18"/>
      <c r="O52" s="21"/>
    </row>
    <row r="53" spans="1:15" s="11" customFormat="1" ht="114">
      <c r="A53" s="38"/>
      <c r="B53" s="39"/>
      <c r="C53" s="16">
        <v>41</v>
      </c>
      <c r="D53" s="32" t="s">
        <v>95</v>
      </c>
      <c r="E53" s="32" t="s">
        <v>142</v>
      </c>
      <c r="F53" s="32" t="s">
        <v>156</v>
      </c>
      <c r="G53" s="32" t="s">
        <v>177</v>
      </c>
      <c r="H53" s="17"/>
      <c r="I53" s="18"/>
      <c r="J53" s="19"/>
      <c r="K53" s="18"/>
      <c r="L53" s="17"/>
      <c r="M53" s="18"/>
      <c r="N53" s="18"/>
      <c r="O53" s="21"/>
    </row>
    <row r="54" spans="1:15" s="11" customFormat="1" ht="99.75">
      <c r="A54" s="38"/>
      <c r="B54" s="39"/>
      <c r="C54" s="16">
        <v>42</v>
      </c>
      <c r="D54" s="32" t="s">
        <v>94</v>
      </c>
      <c r="E54" s="32" t="s">
        <v>142</v>
      </c>
      <c r="F54" s="32" t="s">
        <v>157</v>
      </c>
      <c r="G54" s="32" t="s">
        <v>178</v>
      </c>
      <c r="H54" s="17"/>
      <c r="I54" s="18"/>
      <c r="J54" s="19"/>
      <c r="K54" s="18"/>
      <c r="L54" s="17"/>
      <c r="M54" s="18"/>
      <c r="N54" s="18"/>
      <c r="O54" s="21"/>
    </row>
    <row r="55" spans="1:15" s="11" customFormat="1" ht="129" customHeight="1">
      <c r="A55" s="24">
        <f ca="1">MAX($A$13:A55)+1</f>
        <v>10</v>
      </c>
      <c r="B55" s="31" t="s">
        <v>73</v>
      </c>
      <c r="C55" s="16">
        <v>43</v>
      </c>
      <c r="D55" s="32" t="s">
        <v>93</v>
      </c>
      <c r="E55" s="32" t="s">
        <v>142</v>
      </c>
      <c r="F55" s="32" t="s">
        <v>158</v>
      </c>
      <c r="G55" s="32" t="s">
        <v>179</v>
      </c>
      <c r="H55" s="17"/>
      <c r="I55" s="18"/>
      <c r="J55" s="19"/>
      <c r="K55" s="18"/>
      <c r="L55" s="17"/>
      <c r="M55" s="18"/>
      <c r="N55" s="18"/>
      <c r="O55" s="21"/>
    </row>
    <row r="56" spans="1:15" s="11" customFormat="1" ht="114">
      <c r="A56" s="34">
        <f ca="1">MAX($A$13:A55)+1</f>
        <v>11</v>
      </c>
      <c r="B56" s="36" t="s">
        <v>74</v>
      </c>
      <c r="C56" s="16">
        <v>44</v>
      </c>
      <c r="D56" s="32" t="s">
        <v>92</v>
      </c>
      <c r="E56" s="32" t="s">
        <v>145</v>
      </c>
      <c r="F56" s="32" t="s">
        <v>159</v>
      </c>
      <c r="G56" s="32" t="s">
        <v>180</v>
      </c>
      <c r="H56" s="17"/>
      <c r="I56" s="18"/>
      <c r="J56" s="19"/>
      <c r="K56" s="18"/>
      <c r="L56" s="17"/>
      <c r="M56" s="18"/>
      <c r="N56" s="18"/>
      <c r="O56" s="21"/>
    </row>
    <row r="57" spans="1:15" s="11" customFormat="1" ht="114">
      <c r="A57" s="38"/>
      <c r="B57" s="39"/>
      <c r="C57" s="16">
        <v>45</v>
      </c>
      <c r="D57" s="32" t="s">
        <v>90</v>
      </c>
      <c r="E57" s="32" t="s">
        <v>145</v>
      </c>
      <c r="F57" s="32" t="s">
        <v>160</v>
      </c>
      <c r="G57" s="32" t="s">
        <v>181</v>
      </c>
      <c r="H57" s="17"/>
      <c r="I57" s="18"/>
      <c r="J57" s="19"/>
      <c r="K57" s="18"/>
      <c r="L57" s="17"/>
      <c r="M57" s="18"/>
      <c r="N57" s="18"/>
      <c r="O57" s="21"/>
    </row>
    <row r="58" spans="1:15" s="11" customFormat="1" ht="114">
      <c r="A58" s="38"/>
      <c r="B58" s="39"/>
      <c r="C58" s="16">
        <v>46</v>
      </c>
      <c r="D58" s="32" t="s">
        <v>91</v>
      </c>
      <c r="E58" s="32" t="s">
        <v>146</v>
      </c>
      <c r="F58" s="32" t="s">
        <v>161</v>
      </c>
      <c r="G58" s="32" t="s">
        <v>181</v>
      </c>
      <c r="H58" s="17"/>
      <c r="I58" s="18"/>
      <c r="J58" s="19"/>
      <c r="K58" s="18"/>
      <c r="L58" s="17"/>
      <c r="M58" s="18"/>
      <c r="N58" s="18"/>
      <c r="O58" s="21"/>
    </row>
    <row r="59" spans="1:15" s="11" customFormat="1" ht="114">
      <c r="A59" s="38"/>
      <c r="B59" s="39"/>
      <c r="C59" s="16">
        <v>47</v>
      </c>
      <c r="D59" s="32" t="s">
        <v>89</v>
      </c>
      <c r="E59" s="32" t="s">
        <v>88</v>
      </c>
      <c r="F59" s="32" t="s">
        <v>87</v>
      </c>
      <c r="G59" s="32" t="s">
        <v>181</v>
      </c>
      <c r="H59" s="17"/>
      <c r="I59" s="18"/>
      <c r="J59" s="19"/>
      <c r="K59" s="18"/>
      <c r="L59" s="17"/>
      <c r="M59" s="18"/>
      <c r="N59" s="18"/>
      <c r="O59" s="21"/>
    </row>
    <row r="60" spans="1:15" s="11" customFormat="1" ht="71.25">
      <c r="A60" s="24">
        <f ca="1">MAX($A$13:A59)+1</f>
        <v>12</v>
      </c>
      <c r="B60" s="31" t="s">
        <v>77</v>
      </c>
      <c r="C60" s="16">
        <v>48</v>
      </c>
      <c r="D60" s="32" t="s">
        <v>86</v>
      </c>
      <c r="E60" s="33" t="s">
        <v>27</v>
      </c>
      <c r="F60" s="33" t="s">
        <v>27</v>
      </c>
      <c r="G60" s="32" t="s">
        <v>182</v>
      </c>
      <c r="H60" s="17"/>
      <c r="I60" s="18"/>
      <c r="J60" s="19"/>
      <c r="K60" s="18"/>
      <c r="L60" s="17"/>
      <c r="M60" s="18"/>
      <c r="N60" s="18"/>
      <c r="O60" s="21"/>
    </row>
    <row r="61" spans="1:15" s="29" customFormat="1" ht="128.25">
      <c r="A61" s="34">
        <f ca="1">MAX($A$13:A60)+1</f>
        <v>13</v>
      </c>
      <c r="B61" s="36" t="s">
        <v>78</v>
      </c>
      <c r="C61" s="16">
        <v>49</v>
      </c>
      <c r="D61" s="32" t="s">
        <v>85</v>
      </c>
      <c r="E61" s="32" t="s">
        <v>84</v>
      </c>
      <c r="F61" s="32" t="s">
        <v>162</v>
      </c>
      <c r="G61" s="32" t="s">
        <v>83</v>
      </c>
      <c r="H61" s="26"/>
      <c r="I61" s="27"/>
      <c r="J61" s="28"/>
      <c r="K61" s="27"/>
      <c r="L61" s="26"/>
      <c r="M61" s="27"/>
      <c r="N61" s="27"/>
      <c r="O61" s="21"/>
    </row>
    <row r="62" spans="1:15" s="11" customFormat="1" ht="237.5" customHeight="1">
      <c r="A62" s="35"/>
      <c r="B62" s="37"/>
      <c r="C62" s="16">
        <v>50</v>
      </c>
      <c r="D62" s="32" t="s">
        <v>79</v>
      </c>
      <c r="E62" s="32" t="s">
        <v>80</v>
      </c>
      <c r="F62" s="32" t="s">
        <v>81</v>
      </c>
      <c r="G62" s="32" t="s">
        <v>82</v>
      </c>
      <c r="H62" s="26"/>
      <c r="I62" s="27"/>
      <c r="J62" s="28"/>
      <c r="K62" s="18"/>
      <c r="L62" s="17"/>
      <c r="M62" s="18"/>
      <c r="N62" s="18"/>
      <c r="O62" s="21"/>
    </row>
    <row r="66" ht="12" customHeight="1"/>
  </sheetData>
  <mergeCells count="46">
    <mergeCell ref="B6:C6"/>
    <mergeCell ref="E6:F6"/>
    <mergeCell ref="H6:O6"/>
    <mergeCell ref="N2:O2"/>
    <mergeCell ref="D3:E3"/>
    <mergeCell ref="F3:G3"/>
    <mergeCell ref="H3:K3"/>
    <mergeCell ref="L3:M3"/>
    <mergeCell ref="N3:O3"/>
    <mergeCell ref="A1:C4"/>
    <mergeCell ref="D1:E1"/>
    <mergeCell ref="F1:G1"/>
    <mergeCell ref="H1:K1"/>
    <mergeCell ref="L1:M1"/>
    <mergeCell ref="N1:O1"/>
    <mergeCell ref="D2:E2"/>
    <mergeCell ref="D4:E4"/>
    <mergeCell ref="F4:G4"/>
    <mergeCell ref="H4:K4"/>
    <mergeCell ref="L4:M4"/>
    <mergeCell ref="N4:O4"/>
    <mergeCell ref="F2:G2"/>
    <mergeCell ref="H2:K2"/>
    <mergeCell ref="L2:M2"/>
    <mergeCell ref="A7:C7"/>
    <mergeCell ref="D7:O7"/>
    <mergeCell ref="A8:C8"/>
    <mergeCell ref="D8:O8"/>
    <mergeCell ref="A9:C9"/>
    <mergeCell ref="D9:I9"/>
    <mergeCell ref="J9:L9"/>
    <mergeCell ref="M9:O9"/>
    <mergeCell ref="A10:C10"/>
    <mergeCell ref="D10:I10"/>
    <mergeCell ref="J10:L10"/>
    <mergeCell ref="M10:O10"/>
    <mergeCell ref="A25:A34"/>
    <mergeCell ref="B25:B34"/>
    <mergeCell ref="A61:A62"/>
    <mergeCell ref="B61:B62"/>
    <mergeCell ref="A45:A46"/>
    <mergeCell ref="B45:B46"/>
    <mergeCell ref="A47:A54"/>
    <mergeCell ref="B47:B54"/>
    <mergeCell ref="A56:A59"/>
    <mergeCell ref="B56:B59"/>
  </mergeCells>
  <conditionalFormatting sqref="H52:J52">
    <cfRule type="timePeriod" dxfId="11" priority="12" timePeriod="lastWeek">
      <formula>AND(TODAY()-ROUNDDOWN(H52,0)&gt;=(WEEKDAY(TODAY())),TODAY()-ROUNDDOWN(H52,0)&lt;(WEEKDAY(TODAY())+7))</formula>
    </cfRule>
  </conditionalFormatting>
  <conditionalFormatting sqref="H53:J53">
    <cfRule type="timePeriod" dxfId="10" priority="11" timePeriod="lastWeek">
      <formula>AND(TODAY()-ROUNDDOWN(H53,0)&gt;=(WEEKDAY(TODAY())),TODAY()-ROUNDDOWN(H53,0)&lt;(WEEKDAY(TODAY())+7))</formula>
    </cfRule>
  </conditionalFormatting>
  <conditionalFormatting sqref="H54:J54">
    <cfRule type="timePeriod" dxfId="9" priority="10" timePeriod="lastWeek">
      <formula>AND(TODAY()-ROUNDDOWN(H54,0)&gt;=(WEEKDAY(TODAY())),TODAY()-ROUNDDOWN(H54,0)&lt;(WEEKDAY(TODAY())+7))</formula>
    </cfRule>
  </conditionalFormatting>
  <conditionalFormatting sqref="H55:J55">
    <cfRule type="timePeriod" dxfId="8" priority="9" timePeriod="lastWeek">
      <formula>AND(TODAY()-ROUNDDOWN(H55,0)&gt;=(WEEKDAY(TODAY())),TODAY()-ROUNDDOWN(H55,0)&lt;(WEEKDAY(TODAY())+7))</formula>
    </cfRule>
  </conditionalFormatting>
  <conditionalFormatting sqref="H56:I56">
    <cfRule type="timePeriod" dxfId="7" priority="8" timePeriod="lastWeek">
      <formula>AND(TODAY()-ROUNDDOWN(H56,0)&gt;=(WEEKDAY(TODAY())),TODAY()-ROUNDDOWN(H56,0)&lt;(WEEKDAY(TODAY())+7))</formula>
    </cfRule>
  </conditionalFormatting>
  <conditionalFormatting sqref="H57:I57">
    <cfRule type="timePeriod" dxfId="6" priority="7" timePeriod="lastWeek">
      <formula>AND(TODAY()-ROUNDDOWN(H57,0)&gt;=(WEEKDAY(TODAY())),TODAY()-ROUNDDOWN(H57,0)&lt;(WEEKDAY(TODAY())+7))</formula>
    </cfRule>
  </conditionalFormatting>
  <conditionalFormatting sqref="H58:I58">
    <cfRule type="timePeriod" dxfId="5" priority="6" timePeriod="lastWeek">
      <formula>AND(TODAY()-ROUNDDOWN(H58,0)&gt;=(WEEKDAY(TODAY())),TODAY()-ROUNDDOWN(H58,0)&lt;(WEEKDAY(TODAY())+7))</formula>
    </cfRule>
  </conditionalFormatting>
  <conditionalFormatting sqref="H59:I59">
    <cfRule type="timePeriod" dxfId="4" priority="5" timePeriod="lastWeek">
      <formula>AND(TODAY()-ROUNDDOWN(H59,0)&gt;=(WEEKDAY(TODAY())),TODAY()-ROUNDDOWN(H59,0)&lt;(WEEKDAY(TODAY())+7))</formula>
    </cfRule>
  </conditionalFormatting>
  <conditionalFormatting sqref="H60:I60">
    <cfRule type="timePeriod" dxfId="3" priority="4" timePeriod="lastWeek">
      <formula>AND(TODAY()-ROUNDDOWN(H60,0)&gt;=(WEEKDAY(TODAY())),TODAY()-ROUNDDOWN(H60,0)&lt;(WEEKDAY(TODAY())+7))</formula>
    </cfRule>
  </conditionalFormatting>
  <conditionalFormatting sqref="M57">
    <cfRule type="timePeriod" dxfId="2" priority="3" timePeriod="lastWeek">
      <formula>AND(TODAY()-ROUNDDOWN(M57,0)&gt;=(WEEKDAY(TODAY())),TODAY()-ROUNDDOWN(M57,0)&lt;(WEEKDAY(TODAY())+7))</formula>
    </cfRule>
  </conditionalFormatting>
  <conditionalFormatting sqref="M58">
    <cfRule type="timePeriod" dxfId="1" priority="2" timePeriod="lastWeek">
      <formula>AND(TODAY()-ROUNDDOWN(M58,0)&gt;=(WEEKDAY(TODAY())),TODAY()-ROUNDDOWN(M58,0)&lt;(WEEKDAY(TODAY())+7))</formula>
    </cfRule>
  </conditionalFormatting>
  <conditionalFormatting sqref="M59">
    <cfRule type="timePeriod" dxfId="0" priority="1" timePeriod="lastWeek">
      <formula>AND(TODAY()-ROUNDDOWN(M59,0)&gt;=(WEEKDAY(TODAY())),TODAY()-ROUNDDOWN(M59,0)&lt;(WEEKDAY(TODAY())+7))</formula>
    </cfRule>
  </conditionalFormatting>
  <printOptions horizontalCentered="1"/>
  <pageMargins left="0.39370078740157483" right="0.39370078740157483" top="0.98425196850393704" bottom="0.59055118110236227" header="0.39370078740157483" footer="0.39370078740157483"/>
  <pageSetup paperSize="9" scale="46" fitToHeight="0" orientation="landscape" horizontalDpi="300" verticalDpi="300" r:id="rId1"/>
  <headerFooter alignWithMargins="0">
    <oddHeader>&amp;L&amp;G&amp;R&amp;G
NTT DATA Myanmar Company Limited</oddHeader>
    <oddFooter>&amp;LNDMM_SD1_F-20 (Ver 1.0)&amp;C&amp;9Effective Date: 10-Jan-2022&amp;RPage 1 of 2</oddFooter>
  </headerFooter>
  <legacyDrawingHF r:id="rId2"/>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テストケース表</vt:lpstr>
      <vt:lpstr>テストケース表!Print_Titles</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2014-03-27T07:30:01Z</cp:lastPrinted>
  <dcterms:created xsi:type="dcterms:W3CDTF">2009-03-26T07:25:08Z</dcterms:created>
  <dcterms:modified xsi:type="dcterms:W3CDTF">2026-02-06T08:09:18Z</dcterms:modified>
  <cp:category/>
  <cp:contentStatus/>
  <dc:language/>
  <cp:version/>
</cp:coreProperties>
</file>